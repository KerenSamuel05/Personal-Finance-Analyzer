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keren\Downloads\"/>
    </mc:Choice>
  </mc:AlternateContent>
  <xr:revisionPtr revIDLastSave="0" documentId="13_ncr:1_{27589005-8AA0-49EB-AF6A-29898C6B93E1}" xr6:coauthVersionLast="47" xr6:coauthVersionMax="47" xr10:uidLastSave="{00000000-0000-0000-0000-000000000000}"/>
  <bookViews>
    <workbookView xWindow="-120" yWindow="-120" windowWidth="29040" windowHeight="15720" activeTab="2" xr2:uid="{E9D68179-C0B6-4F54-9E21-91A9D5A35C79}"/>
  </bookViews>
  <sheets>
    <sheet name="Sheet1" sheetId="1" r:id="rId1"/>
    <sheet name="Sheet2" sheetId="2" r:id="rId2"/>
    <sheet name="Sheet3" sheetId="3" r:id="rId3"/>
  </sheets>
  <definedNames>
    <definedName name="_xlnm._FilterDatabase" localSheetId="0" hidden="1">Sheet1!$A$1:$G$226</definedName>
    <definedName name="Slicer_Category">#N/A</definedName>
    <definedName name="Slicer_Months__Date___Time">#N/A</definedName>
  </definedNames>
  <calcPr calcId="181029"/>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4" i="3" l="1"/>
  <c r="J4" i="3"/>
  <c r="F4" i="3"/>
  <c r="B4" i="3"/>
  <c r="I227" i="1"/>
  <c r="H227" i="1"/>
  <c r="G227"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 i="1"/>
  <c r="I19" i="2"/>
</calcChain>
</file>

<file path=xl/sharedStrings.xml><?xml version="1.0" encoding="utf-8"?>
<sst xmlns="http://schemas.openxmlformats.org/spreadsheetml/2006/main" count="1090" uniqueCount="182">
  <si>
    <t>Date / Time</t>
  </si>
  <si>
    <t>Mode</t>
  </si>
  <si>
    <t>Category</t>
  </si>
  <si>
    <t>Sub category</t>
  </si>
  <si>
    <t>Income/Expense</t>
  </si>
  <si>
    <t>Debit/Credit</t>
  </si>
  <si>
    <t>CUB - online payment</t>
  </si>
  <si>
    <t>Allowance</t>
  </si>
  <si>
    <t>From dad</t>
  </si>
  <si>
    <t>Income</t>
  </si>
  <si>
    <t>Food</t>
  </si>
  <si>
    <t>Snacks</t>
  </si>
  <si>
    <t>Expense</t>
  </si>
  <si>
    <t>Other</t>
  </si>
  <si>
    <t>Household</t>
  </si>
  <si>
    <t>Stuffs</t>
  </si>
  <si>
    <t>Transportation</t>
  </si>
  <si>
    <t>Metro</t>
  </si>
  <si>
    <t>Dinner</t>
  </si>
  <si>
    <t>Lunch with company</t>
  </si>
  <si>
    <t>Rapido to pg</t>
  </si>
  <si>
    <t>Gundan + prasanna</t>
  </si>
  <si>
    <t>Eve snack</t>
  </si>
  <si>
    <t>Snack with preethi</t>
  </si>
  <si>
    <t>Lunch + chocolate for preethi</t>
  </si>
  <si>
    <t>From vicky</t>
  </si>
  <si>
    <t>Snacks with preethi and azar</t>
  </si>
  <si>
    <t>Badminton</t>
  </si>
  <si>
    <t>Lemon tea</t>
  </si>
  <si>
    <t>Paani poori</t>
  </si>
  <si>
    <t>Vishnu 100 gowdham 25</t>
  </si>
  <si>
    <t>office</t>
  </si>
  <si>
    <t>Zinger box meal</t>
  </si>
  <si>
    <t>To vishnu</t>
  </si>
  <si>
    <t>Banana</t>
  </si>
  <si>
    <t>Sent to barath</t>
  </si>
  <si>
    <t>Brunch</t>
  </si>
  <si>
    <t xml:space="preserve">Cycle gap </t>
  </si>
  <si>
    <t>To vicky</t>
  </si>
  <si>
    <t>Train to vnr</t>
  </si>
  <si>
    <t>Dinner with barath</t>
  </si>
  <si>
    <t>Tablet to gowdham</t>
  </si>
  <si>
    <t>Parotta</t>
  </si>
  <si>
    <t>Brownie</t>
  </si>
  <si>
    <t xml:space="preserve">Games </t>
  </si>
  <si>
    <t xml:space="preserve">Kfc </t>
  </si>
  <si>
    <t>Side dishes</t>
  </si>
  <si>
    <t>Lunch</t>
  </si>
  <si>
    <t>Kfc dinner</t>
  </si>
  <si>
    <t>To egmore</t>
  </si>
  <si>
    <t>To auto anna</t>
  </si>
  <si>
    <t>Bus ticket</t>
  </si>
  <si>
    <t>Random stuff for drinks</t>
  </si>
  <si>
    <t>Train cbe to chn</t>
  </si>
  <si>
    <t>It better be worth it</t>
  </si>
  <si>
    <t>Eggs</t>
  </si>
  <si>
    <t>Apparel</t>
  </si>
  <si>
    <t>Hoodie for gobi</t>
  </si>
  <si>
    <t>Creamstone</t>
  </si>
  <si>
    <t>Tea lights</t>
  </si>
  <si>
    <t>To karthi</t>
  </si>
  <si>
    <t>Pizza</t>
  </si>
  <si>
    <t>From abi</t>
  </si>
  <si>
    <t>Lunch unlimited nv</t>
  </si>
  <si>
    <t>From shakur</t>
  </si>
  <si>
    <t>From barath</t>
  </si>
  <si>
    <t>Dairy milk</t>
  </si>
  <si>
    <t>To gowdham</t>
  </si>
  <si>
    <t>Good soup</t>
  </si>
  <si>
    <t>Bus to Bangalore</t>
  </si>
  <si>
    <t>Earphone</t>
  </si>
  <si>
    <t>To ksr station</t>
  </si>
  <si>
    <t>Sent to preethi</t>
  </si>
  <si>
    <t>Education</t>
  </si>
  <si>
    <t>Arrear and reval fee</t>
  </si>
  <si>
    <t>To lended people</t>
  </si>
  <si>
    <t>Took from sbi</t>
  </si>
  <si>
    <t>Ramen with gobi</t>
  </si>
  <si>
    <t>Salary</t>
  </si>
  <si>
    <t>Shawarma</t>
  </si>
  <si>
    <t>Cab</t>
  </si>
  <si>
    <t>Refund for bus ticket</t>
  </si>
  <si>
    <t>To abijith and to vicky lend money returned</t>
  </si>
  <si>
    <t>To gobi 1st 1/4th</t>
  </si>
  <si>
    <t>Lended money returned to kumara</t>
  </si>
  <si>
    <t>Jan 2nd with shakur and barath</t>
  </si>
  <si>
    <t>Lended money returned to vishnu</t>
  </si>
  <si>
    <t xml:space="preserve">Spiderman </t>
  </si>
  <si>
    <t>Vnr to apk</t>
  </si>
  <si>
    <t>Bingo</t>
  </si>
  <si>
    <t>Dinner with roommate</t>
  </si>
  <si>
    <t>Ketch up</t>
  </si>
  <si>
    <t>From barath and shakur</t>
  </si>
  <si>
    <t>To gobi</t>
  </si>
  <si>
    <t>To chennai</t>
  </si>
  <si>
    <t>To kumara</t>
  </si>
  <si>
    <t>Cakepark</t>
  </si>
  <si>
    <t>Dinner with aravind and buddies</t>
  </si>
  <si>
    <t>Coffee + biscuit</t>
  </si>
  <si>
    <t>Auto to Gobi's place</t>
  </si>
  <si>
    <t>Beer</t>
  </si>
  <si>
    <t>Kfc date with myself</t>
  </si>
  <si>
    <t>Rent</t>
  </si>
  <si>
    <t>Lunch with gowdham</t>
  </si>
  <si>
    <t>From gowdham</t>
  </si>
  <si>
    <t>Gave to gowdham</t>
  </si>
  <si>
    <t>Travel to koyambedu</t>
  </si>
  <si>
    <t>Tamen</t>
  </si>
  <si>
    <t>From Deepak</t>
  </si>
  <si>
    <t>Bean bag</t>
  </si>
  <si>
    <t>Kumara</t>
  </si>
  <si>
    <t>Sent to vicky</t>
  </si>
  <si>
    <t>Pepsi</t>
  </si>
  <si>
    <t>Friday snacks with preethi gang</t>
  </si>
  <si>
    <t>Panipoori</t>
  </si>
  <si>
    <t>Milk with bharath</t>
  </si>
  <si>
    <t>From ganesan</t>
  </si>
  <si>
    <t>Rapido + toll</t>
  </si>
  <si>
    <t>Bommasandra to pg</t>
  </si>
  <si>
    <t>Lunch with not preethi</t>
  </si>
  <si>
    <t>Dinner with aravind</t>
  </si>
  <si>
    <t>Lunch pongal</t>
  </si>
  <si>
    <t>Siva + 100 cash</t>
  </si>
  <si>
    <t>Rapido</t>
  </si>
  <si>
    <t>Dinner with gowdham</t>
  </si>
  <si>
    <t>Zomato</t>
  </si>
  <si>
    <t>Snack</t>
  </si>
  <si>
    <t>Breakfast</t>
  </si>
  <si>
    <t>Bharath birthday</t>
  </si>
  <si>
    <t>From kumara</t>
  </si>
  <si>
    <t>Recharge by gowdham</t>
  </si>
  <si>
    <t>Mirror</t>
  </si>
  <si>
    <t>Egg</t>
  </si>
  <si>
    <t>Lended money</t>
  </si>
  <si>
    <t>To rahul</t>
  </si>
  <si>
    <t>To abijith</t>
  </si>
  <si>
    <t>To siva</t>
  </si>
  <si>
    <t>Lunch with barath</t>
  </si>
  <si>
    <t>Water</t>
  </si>
  <si>
    <t>Taxi</t>
  </si>
  <si>
    <t>Bun</t>
  </si>
  <si>
    <t>Puffs</t>
  </si>
  <si>
    <t>Puffs and coffee</t>
  </si>
  <si>
    <t>Lemon tea with company</t>
  </si>
  <si>
    <t>Corn</t>
  </si>
  <si>
    <t>Books</t>
  </si>
  <si>
    <t>Coconut water with stu</t>
  </si>
  <si>
    <t>Coffee and thattai</t>
  </si>
  <si>
    <t>Horlicks + kolakattai</t>
  </si>
  <si>
    <t>Pg to office</t>
  </si>
  <si>
    <t>To barath</t>
  </si>
  <si>
    <t>Row Labels</t>
  </si>
  <si>
    <t>Grand Total</t>
  </si>
  <si>
    <t>Jan</t>
  </si>
  <si>
    <t>Feb</t>
  </si>
  <si>
    <t>Mar</t>
  </si>
  <si>
    <t>Apr</t>
  </si>
  <si>
    <t>May</t>
  </si>
  <si>
    <t>Jun</t>
  </si>
  <si>
    <t>Jul</t>
  </si>
  <si>
    <t>Aug</t>
  </si>
  <si>
    <t>Sep</t>
  </si>
  <si>
    <t>Oct</t>
  </si>
  <si>
    <t>Nov</t>
  </si>
  <si>
    <t>Dec</t>
  </si>
  <si>
    <t>Sum of Debit/Credit</t>
  </si>
  <si>
    <t>(All)</t>
  </si>
  <si>
    <t>Months (Date / Time)</t>
  </si>
  <si>
    <t>Total Income</t>
  </si>
  <si>
    <t>Total Expenses</t>
  </si>
  <si>
    <t>Savings (Deficit)</t>
  </si>
  <si>
    <t>HOUSEHOLD = 37% EXPENSES</t>
  </si>
  <si>
    <t>PERSONAL FINANCE ANALYSIS</t>
  </si>
  <si>
    <t>Sum of Income</t>
  </si>
  <si>
    <t>HOUSEHOLD IS 37% OF TOTAL EXPENSES IN THE YEAR</t>
  </si>
  <si>
    <t>DECEMBER HAD HIGHEST TOTAL EXPENDITURE</t>
  </si>
  <si>
    <t xml:space="preserve">MAJOR SOURCE OF INCOME IS SALARY, OTHER IS SECOND MAJOR SOURCE </t>
  </si>
  <si>
    <r>
      <t>HOUSEHOLD IS</t>
    </r>
    <r>
      <rPr>
        <b/>
        <sz val="16"/>
        <color rgb="FFFF0000"/>
        <rFont val="Calibri"/>
        <family val="2"/>
        <scheme val="minor"/>
      </rPr>
      <t xml:space="preserve"> 37%</t>
    </r>
    <r>
      <rPr>
        <b/>
        <sz val="16"/>
        <color theme="1"/>
        <rFont val="Calibri"/>
        <family val="2"/>
        <scheme val="minor"/>
      </rPr>
      <t xml:space="preserve"> OF TOTAL EXPENSES IN THE YEAR</t>
    </r>
  </si>
  <si>
    <t>TOTAL INCOME</t>
  </si>
  <si>
    <t>TOTAL EXPENSES</t>
  </si>
  <si>
    <t>SAVINGS</t>
  </si>
  <si>
    <t>SAVINGS RATE 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</si>
</sst>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48"/>
      <color theme="1"/>
      <name val="Calibri"/>
      <family val="2"/>
      <scheme val="minor"/>
    </font>
    <font>
      <b/>
      <sz val="48"/>
      <color theme="0"/>
      <name val="Calibri"/>
      <family val="2"/>
      <scheme val="minor"/>
    </font>
    <font>
      <b/>
      <sz val="16"/>
      <color rgb="FFFF0000"/>
      <name val="Calibri"/>
      <family val="2"/>
      <scheme val="minor"/>
    </font>
    <font>
      <b/>
      <sz val="14"/>
      <color theme="0"/>
      <name val="Calibri"/>
      <family val="2"/>
      <scheme val="minor"/>
    </font>
  </fonts>
  <fills count="12">
    <fill>
      <patternFill patternType="none"/>
    </fill>
    <fill>
      <patternFill patternType="gray125"/>
    </fill>
    <fill>
      <patternFill patternType="solid">
        <fgColor theme="2" tint="-0.499984740745262"/>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0000"/>
        <bgColor indexed="64"/>
      </patternFill>
    </fill>
    <fill>
      <patternFill patternType="solid">
        <fgColor theme="7" tint="0.39997558519241921"/>
        <bgColor indexed="64"/>
      </patternFill>
    </fill>
    <fill>
      <patternFill patternType="solid">
        <fgColor rgb="FF00B0F0"/>
        <bgColor indexed="64"/>
      </patternFill>
    </fill>
    <fill>
      <patternFill patternType="solid">
        <fgColor theme="4" tint="0.79998168889431442"/>
        <bgColor indexed="64"/>
      </patternFill>
    </fill>
    <fill>
      <patternFill patternType="solid">
        <fgColor theme="1"/>
        <bgColor indexed="64"/>
      </patternFill>
    </fill>
    <fill>
      <patternFill patternType="solid">
        <fgColor rgb="FFFFC000"/>
        <bgColor indexed="64"/>
      </patternFill>
    </fill>
    <fill>
      <patternFill patternType="solid">
        <fgColor theme="0"/>
        <bgColor indexed="64"/>
      </patternFill>
    </fill>
  </fills>
  <borders count="19">
    <border>
      <left/>
      <right/>
      <top/>
      <bottom/>
      <diagonal/>
    </border>
    <border>
      <left/>
      <right/>
      <top style="thin">
        <color theme="4" tint="0.39997558519241921"/>
      </top>
      <bottom/>
      <diagonal/>
    </border>
    <border>
      <left style="medium">
        <color indexed="64"/>
      </left>
      <right/>
      <top/>
      <bottom/>
      <diagonal/>
    </border>
    <border>
      <left/>
      <right style="medium">
        <color indexed="64"/>
      </right>
      <top/>
      <bottom/>
      <diagonal/>
    </border>
    <border>
      <left style="medium">
        <color theme="1"/>
      </left>
      <right/>
      <top style="medium">
        <color theme="1"/>
      </top>
      <bottom style="thin">
        <color theme="0"/>
      </bottom>
      <diagonal/>
    </border>
    <border>
      <left/>
      <right/>
      <top style="medium">
        <color theme="1"/>
      </top>
      <bottom style="thin">
        <color theme="0"/>
      </bottom>
      <diagonal/>
    </border>
    <border>
      <left/>
      <right style="medium">
        <color theme="1"/>
      </right>
      <top style="medium">
        <color theme="1"/>
      </top>
      <bottom style="thin">
        <color theme="0"/>
      </bottom>
      <diagonal/>
    </border>
    <border>
      <left style="medium">
        <color theme="1"/>
      </left>
      <right/>
      <top style="medium">
        <color theme="1"/>
      </top>
      <bottom style="medium">
        <color indexed="64"/>
      </bottom>
      <diagonal/>
    </border>
    <border>
      <left/>
      <right/>
      <top style="medium">
        <color theme="1"/>
      </top>
      <bottom/>
      <diagonal/>
    </border>
    <border>
      <left/>
      <right/>
      <top style="medium">
        <color theme="1"/>
      </top>
      <bottom style="medium">
        <color indexed="64"/>
      </bottom>
      <diagonal/>
    </border>
    <border>
      <left/>
      <right style="medium">
        <color theme="1"/>
      </right>
      <top style="medium">
        <color theme="1"/>
      </top>
      <bottom style="medium">
        <color indexed="64"/>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right/>
      <top style="medium">
        <color indexed="64"/>
      </top>
      <bottom/>
      <diagonal/>
    </border>
    <border>
      <left style="medium">
        <color indexed="64"/>
      </left>
      <right/>
      <top style="thin">
        <color theme="0"/>
      </top>
      <bottom/>
      <diagonal/>
    </border>
    <border>
      <left/>
      <right/>
      <top style="thin">
        <color theme="0"/>
      </top>
      <bottom/>
      <diagonal/>
    </border>
  </borders>
  <cellStyleXfs count="1">
    <xf numFmtId="0" fontId="0" fillId="0" borderId="0"/>
  </cellStyleXfs>
  <cellXfs count="39">
    <xf numFmtId="0" fontId="0" fillId="0" borderId="0" xfId="0"/>
    <xf numFmtId="164" fontId="0" fillId="0" borderId="0" xfId="0" applyNumberFormat="1"/>
    <xf numFmtId="0" fontId="0" fillId="2" borderId="0" xfId="0" applyFill="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1" fillId="3" borderId="1" xfId="0" applyFont="1" applyFill="1" applyBorder="1"/>
    <xf numFmtId="0" fontId="0" fillId="4" borderId="0" xfId="0" applyFill="1"/>
    <xf numFmtId="0" fontId="0" fillId="5" borderId="0" xfId="0" applyFill="1"/>
    <xf numFmtId="0" fontId="0" fillId="6" borderId="0" xfId="0" applyFill="1"/>
    <xf numFmtId="0" fontId="1" fillId="8" borderId="0" xfId="0" applyFont="1" applyFill="1"/>
    <xf numFmtId="0" fontId="0" fillId="9" borderId="2" xfId="0" applyFill="1" applyBorder="1"/>
    <xf numFmtId="0" fontId="0" fillId="9" borderId="0" xfId="0" applyFill="1"/>
    <xf numFmtId="0" fontId="0" fillId="9" borderId="3" xfId="0" applyFill="1" applyBorder="1"/>
    <xf numFmtId="0" fontId="0" fillId="9" borderId="7" xfId="0" applyFill="1" applyBorder="1"/>
    <xf numFmtId="0" fontId="0" fillId="9" borderId="9" xfId="0" applyFill="1" applyBorder="1"/>
    <xf numFmtId="0" fontId="0" fillId="9" borderId="10" xfId="0" applyFill="1" applyBorder="1"/>
    <xf numFmtId="0" fontId="0" fillId="9" borderId="11" xfId="0" applyFill="1" applyBorder="1"/>
    <xf numFmtId="0" fontId="0" fillId="9" borderId="12" xfId="0" applyFill="1" applyBorder="1"/>
    <xf numFmtId="0" fontId="0" fillId="9" borderId="13" xfId="0" applyFill="1" applyBorder="1"/>
    <xf numFmtId="0" fontId="0" fillId="9" borderId="14" xfId="0" applyFill="1" applyBorder="1"/>
    <xf numFmtId="0" fontId="0" fillId="9" borderId="15" xfId="0" applyFill="1" applyBorder="1"/>
    <xf numFmtId="0" fontId="0" fillId="9" borderId="8" xfId="0" applyFill="1" applyBorder="1" applyAlignment="1">
      <alignment horizontal="center"/>
    </xf>
    <xf numFmtId="0" fontId="3" fillId="11" borderId="0" xfId="0" applyFont="1" applyFill="1" applyAlignment="1">
      <alignment horizontal="center"/>
    </xf>
    <xf numFmtId="0" fontId="5" fillId="9" borderId="4" xfId="0" applyFont="1" applyFill="1" applyBorder="1" applyAlignment="1">
      <alignment horizontal="center" vertical="center"/>
    </xf>
    <xf numFmtId="0" fontId="4" fillId="9" borderId="5" xfId="0" applyFont="1" applyFill="1" applyBorder="1" applyAlignment="1">
      <alignment horizontal="center" vertical="center"/>
    </xf>
    <xf numFmtId="0" fontId="4" fillId="9" borderId="6" xfId="0" applyFont="1" applyFill="1" applyBorder="1" applyAlignment="1">
      <alignment horizontal="center" vertical="center"/>
    </xf>
    <xf numFmtId="0" fontId="2" fillId="5" borderId="0" xfId="0" applyFont="1" applyFill="1" applyAlignment="1">
      <alignment horizontal="center"/>
    </xf>
    <xf numFmtId="0" fontId="2" fillId="4" borderId="2" xfId="0" applyFont="1" applyFill="1" applyBorder="1" applyAlignment="1">
      <alignment horizontal="center"/>
    </xf>
    <xf numFmtId="0" fontId="2" fillId="4" borderId="0" xfId="0" applyFont="1" applyFill="1" applyAlignment="1">
      <alignment horizontal="center"/>
    </xf>
    <xf numFmtId="0" fontId="2" fillId="10" borderId="0" xfId="0" applyFont="1" applyFill="1" applyAlignment="1">
      <alignment horizontal="center"/>
    </xf>
    <xf numFmtId="0" fontId="0" fillId="7" borderId="0" xfId="0" applyFill="1" applyAlignment="1">
      <alignment horizontal="center"/>
    </xf>
    <xf numFmtId="0" fontId="0" fillId="0" borderId="0" xfId="0" applyNumberFormat="1"/>
    <xf numFmtId="0" fontId="3" fillId="9" borderId="9" xfId="0" applyFont="1" applyFill="1" applyBorder="1" applyAlignment="1">
      <alignment horizontal="center"/>
    </xf>
    <xf numFmtId="0" fontId="3" fillId="11" borderId="16" xfId="0" applyFont="1" applyFill="1" applyBorder="1" applyAlignment="1">
      <alignment horizontal="center"/>
    </xf>
    <xf numFmtId="0" fontId="7" fillId="9" borderId="17" xfId="0" applyFont="1" applyFill="1" applyBorder="1" applyAlignment="1">
      <alignment horizontal="center"/>
    </xf>
    <xf numFmtId="0" fontId="7" fillId="9" borderId="18" xfId="0" applyFont="1" applyFill="1" applyBorder="1" applyAlignment="1">
      <alignment horizontal="center"/>
    </xf>
    <xf numFmtId="0" fontId="2" fillId="9" borderId="18" xfId="0" applyFont="1" applyFill="1" applyBorder="1" applyAlignment="1">
      <alignment horizontal="center"/>
    </xf>
    <xf numFmtId="2" fontId="2" fillId="11" borderId="0" xfId="0" applyNumberFormat="1"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Analysis.xlsx]Sheet2!PivotTable1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Sheet2!$K$6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Sheet2!$J$7:$J$19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Sheet2!$K$7:$K$19</c:f>
              <c:numCache>
                <c:formatCode>General</c:formatCode>
                <c:ptCount val="12"/>
                <c:pt idx="0">
                  <c:v>13244.15</c:v>
                </c:pt>
                <c:pt idx="1">
                  <c:v>17200.95</c:v>
                </c:pt>
                <c:pt idx="2">
                  <c:v>11145</c:v>
                </c:pt>
                <c:pt idx="3">
                  <c:v>20739</c:v>
                </c:pt>
                <c:pt idx="4">
                  <c:v>8945.7200000000012</c:v>
                </c:pt>
                <c:pt idx="5">
                  <c:v>12651.81</c:v>
                </c:pt>
                <c:pt idx="6">
                  <c:v>8694</c:v>
                </c:pt>
                <c:pt idx="7">
                  <c:v>5711</c:v>
                </c:pt>
                <c:pt idx="8">
                  <c:v>6662</c:v>
                </c:pt>
                <c:pt idx="9">
                  <c:v>13521</c:v>
                </c:pt>
                <c:pt idx="10">
                  <c:v>7312.9</c:v>
                </c:pt>
                <c:pt idx="11">
                  <c:v>24025.75</c:v>
                </c:pt>
              </c:numCache>
            </c:numRef>
          </c:val>
          <c:smooth val="0"/>
          <c:extLst>
            <c:ext xmlns:c16="http://schemas.microsoft.com/office/drawing/2014/chart" uri="{C3380CC4-5D6E-409C-BE32-E72D297353CC}">
              <c16:uniqueId val="{00000006-7A75-41DA-A18B-E086C52F3A6B}"/>
            </c:ext>
          </c:extLst>
        </c:ser>
        <c:dLbls>
          <c:showLegendKey val="0"/>
          <c:showVal val="0"/>
          <c:showCatName val="0"/>
          <c:showSerName val="0"/>
          <c:showPercent val="0"/>
          <c:showBubbleSize val="0"/>
        </c:dLbls>
        <c:marker val="1"/>
        <c:smooth val="0"/>
        <c:axId val="226398975"/>
        <c:axId val="226399455"/>
      </c:lineChart>
      <c:catAx>
        <c:axId val="22639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399455"/>
        <c:crosses val="autoZero"/>
        <c:auto val="1"/>
        <c:lblAlgn val="ctr"/>
        <c:lblOffset val="100"/>
        <c:noMultiLvlLbl val="0"/>
      </c:catAx>
      <c:valAx>
        <c:axId val="22639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39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Analysis.xlsx]Sheet2!PivotTable3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0"/>
        <c:spPr>
          <a:solidFill>
            <a:schemeClr val="accent1"/>
          </a:solidFill>
          <a:ln>
            <a:noFill/>
          </a:ln>
          <a:effectLst>
            <a:outerShdw blurRad="317500" algn="ctr" rotWithShape="0">
              <a:prstClr val="black">
                <a:alpha val="25000"/>
              </a:prstClr>
            </a:outerShdw>
          </a:effectLst>
        </c:spPr>
      </c:pivotFmt>
      <c:pivotFmt>
        <c:idx val="161"/>
        <c:spPr>
          <a:solidFill>
            <a:schemeClr val="accent1"/>
          </a:solidFill>
          <a:ln>
            <a:noFill/>
          </a:ln>
          <a:effectLst>
            <a:outerShdw blurRad="317500" algn="ctr" rotWithShape="0">
              <a:prstClr val="black">
                <a:alpha val="25000"/>
              </a:prstClr>
            </a:outerShdw>
          </a:effectLst>
        </c:spPr>
      </c:pivotFmt>
      <c:pivotFmt>
        <c:idx val="162"/>
        <c:spPr>
          <a:solidFill>
            <a:schemeClr val="accent1"/>
          </a:solidFill>
          <a:ln>
            <a:noFill/>
          </a:ln>
          <a:effectLst>
            <a:outerShdw blurRad="317500" algn="ctr" rotWithShape="0">
              <a:prstClr val="black">
                <a:alpha val="25000"/>
              </a:prstClr>
            </a:outerShdw>
          </a:effectLst>
        </c:spPr>
      </c:pivotFmt>
      <c:pivotFmt>
        <c:idx val="163"/>
        <c:spPr>
          <a:solidFill>
            <a:schemeClr val="accent1"/>
          </a:solidFill>
          <a:ln>
            <a:noFill/>
          </a:ln>
          <a:effectLst>
            <a:outerShdw blurRad="317500" algn="ctr" rotWithShape="0">
              <a:prstClr val="black">
                <a:alpha val="25000"/>
              </a:prstClr>
            </a:outerShdw>
          </a:effectLst>
        </c:spPr>
      </c:pivotFmt>
      <c:pivotFmt>
        <c:idx val="164"/>
        <c:spPr>
          <a:solidFill>
            <a:schemeClr val="accent1"/>
          </a:solidFill>
          <a:ln>
            <a:noFill/>
          </a:ln>
          <a:effectLst>
            <a:outerShdw blurRad="317500" algn="ctr" rotWithShape="0">
              <a:prstClr val="black">
                <a:alpha val="25000"/>
              </a:prstClr>
            </a:outerShdw>
          </a:effectLst>
        </c:spPr>
      </c:pivotFmt>
      <c:pivotFmt>
        <c:idx val="16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Sheet2!$K$27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F30-4085-986B-5CE1388FC7E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F30-4085-986B-5CE1388FC7E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F30-4085-986B-5CE1388FC7E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F30-4085-986B-5CE1388FC7E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F30-4085-986B-5CE1388FC7E7}"/>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9F30-4085-986B-5CE1388FC7E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Sheet2!$J$28:$J$35</c:f>
              <c:multiLvlStrCache>
                <c:ptCount val="6"/>
                <c:lvl>
                  <c:pt idx="0">
                    <c:v>Apparel</c:v>
                  </c:pt>
                  <c:pt idx="1">
                    <c:v>Education</c:v>
                  </c:pt>
                  <c:pt idx="2">
                    <c:v>Food</c:v>
                  </c:pt>
                  <c:pt idx="3">
                    <c:v>Household</c:v>
                  </c:pt>
                  <c:pt idx="4">
                    <c:v>Other</c:v>
                  </c:pt>
                  <c:pt idx="5">
                    <c:v>Transportation</c:v>
                  </c:pt>
                </c:lvl>
                <c:lvl>
                  <c:pt idx="0">
                    <c:v>Expense</c:v>
                  </c:pt>
                </c:lvl>
              </c:multiLvlStrCache>
            </c:multiLvlStrRef>
          </c:cat>
          <c:val>
            <c:numRef>
              <c:f>Sheet2!$K$28:$K$35</c:f>
              <c:numCache>
                <c:formatCode>General</c:formatCode>
                <c:ptCount val="6"/>
                <c:pt idx="0">
                  <c:v>11674.72</c:v>
                </c:pt>
                <c:pt idx="1">
                  <c:v>14000</c:v>
                </c:pt>
                <c:pt idx="2">
                  <c:v>24607.760000000002</c:v>
                </c:pt>
                <c:pt idx="3">
                  <c:v>54810</c:v>
                </c:pt>
                <c:pt idx="4">
                  <c:v>28887</c:v>
                </c:pt>
                <c:pt idx="5">
                  <c:v>15873.8</c:v>
                </c:pt>
              </c:numCache>
            </c:numRef>
          </c:val>
          <c:extLst>
            <c:ext xmlns:c16="http://schemas.microsoft.com/office/drawing/2014/chart" uri="{C3380CC4-5D6E-409C-BE32-E72D297353CC}">
              <c16:uniqueId val="{00000096-B7C2-4319-A7E1-0BC3A17E9C4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5825252106644569"/>
          <c:y val="7.365777194517352E-2"/>
          <c:w val="0.22858958419671224"/>
          <c:h val="0.72654819189268005"/>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Analysis.xlsx]Sheet2!PivotTable4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Sheet2!$N$23</c:f>
              <c:strCache>
                <c:ptCount val="1"/>
                <c:pt idx="0">
                  <c:v>Total</c:v>
                </c:pt>
              </c:strCache>
            </c:strRef>
          </c:tx>
          <c:spPr>
            <a:solidFill>
              <a:schemeClr val="accent1"/>
            </a:solidFill>
            <a:ln>
              <a:noFill/>
            </a:ln>
            <a:effectLst/>
          </c:spPr>
          <c:invertIfNegative val="0"/>
          <c:cat>
            <c:strRef>
              <c:f>Sheet2!$M$24:$M$142</c:f>
              <c:strCache>
                <c:ptCount val="118"/>
                <c:pt idx="0">
                  <c:v>Arrear and reval fee</c:v>
                </c:pt>
                <c:pt idx="1">
                  <c:v>Auto to Gobi's place</c:v>
                </c:pt>
                <c:pt idx="2">
                  <c:v>Badminton</c:v>
                </c:pt>
                <c:pt idx="3">
                  <c:v>Banana</c:v>
                </c:pt>
                <c:pt idx="4">
                  <c:v>Bean bag</c:v>
                </c:pt>
                <c:pt idx="5">
                  <c:v>Beer</c:v>
                </c:pt>
                <c:pt idx="6">
                  <c:v>Bharath birthday</c:v>
                </c:pt>
                <c:pt idx="7">
                  <c:v>Bingo</c:v>
                </c:pt>
                <c:pt idx="8">
                  <c:v>Bommasandra to pg</c:v>
                </c:pt>
                <c:pt idx="9">
                  <c:v>Books</c:v>
                </c:pt>
                <c:pt idx="10">
                  <c:v>Breakfast</c:v>
                </c:pt>
                <c:pt idx="11">
                  <c:v>Brownie</c:v>
                </c:pt>
                <c:pt idx="12">
                  <c:v>Brunch</c:v>
                </c:pt>
                <c:pt idx="13">
                  <c:v>Bun</c:v>
                </c:pt>
                <c:pt idx="14">
                  <c:v>Bus ticket</c:v>
                </c:pt>
                <c:pt idx="15">
                  <c:v>Bus to Bangalore</c:v>
                </c:pt>
                <c:pt idx="16">
                  <c:v>Cab</c:v>
                </c:pt>
                <c:pt idx="17">
                  <c:v>Cakepark</c:v>
                </c:pt>
                <c:pt idx="18">
                  <c:v>Coconut water with stu</c:v>
                </c:pt>
                <c:pt idx="19">
                  <c:v>Coffee + biscuit</c:v>
                </c:pt>
                <c:pt idx="20">
                  <c:v>Coffee and thattai</c:v>
                </c:pt>
                <c:pt idx="21">
                  <c:v>Corn</c:v>
                </c:pt>
                <c:pt idx="22">
                  <c:v>Creamstone</c:v>
                </c:pt>
                <c:pt idx="23">
                  <c:v>Cycle gap </c:v>
                </c:pt>
                <c:pt idx="24">
                  <c:v>Dairy milk</c:v>
                </c:pt>
                <c:pt idx="25">
                  <c:v>Dinner</c:v>
                </c:pt>
                <c:pt idx="26">
                  <c:v>Dinner with aravind</c:v>
                </c:pt>
                <c:pt idx="27">
                  <c:v>Dinner with aravind and buddies</c:v>
                </c:pt>
                <c:pt idx="28">
                  <c:v>Dinner with barath</c:v>
                </c:pt>
                <c:pt idx="29">
                  <c:v>Dinner with gowdham</c:v>
                </c:pt>
                <c:pt idx="30">
                  <c:v>Dinner with roommate</c:v>
                </c:pt>
                <c:pt idx="31">
                  <c:v>Earphone</c:v>
                </c:pt>
                <c:pt idx="32">
                  <c:v>Egg</c:v>
                </c:pt>
                <c:pt idx="33">
                  <c:v>Eggs</c:v>
                </c:pt>
                <c:pt idx="34">
                  <c:v>Eve snack</c:v>
                </c:pt>
                <c:pt idx="35">
                  <c:v>Friday snacks with preethi gang</c:v>
                </c:pt>
                <c:pt idx="36">
                  <c:v>Games </c:v>
                </c:pt>
                <c:pt idx="37">
                  <c:v>Gave to gowdham</c:v>
                </c:pt>
                <c:pt idx="38">
                  <c:v>Good soup</c:v>
                </c:pt>
                <c:pt idx="39">
                  <c:v>Hoodie for gobi</c:v>
                </c:pt>
                <c:pt idx="40">
                  <c:v>Horlicks + kolakattai</c:v>
                </c:pt>
                <c:pt idx="41">
                  <c:v>It better be worth it</c:v>
                </c:pt>
                <c:pt idx="42">
                  <c:v>Jan 2nd with shakur and barath</c:v>
                </c:pt>
                <c:pt idx="43">
                  <c:v>Ketch up</c:v>
                </c:pt>
                <c:pt idx="44">
                  <c:v>Kfc </c:v>
                </c:pt>
                <c:pt idx="45">
                  <c:v>Kfc date with myself</c:v>
                </c:pt>
                <c:pt idx="46">
                  <c:v>Kfc dinner</c:v>
                </c:pt>
                <c:pt idx="47">
                  <c:v>Lemon tea</c:v>
                </c:pt>
                <c:pt idx="48">
                  <c:v>Lemon tea with company</c:v>
                </c:pt>
                <c:pt idx="49">
                  <c:v>Lended money returned to kumara</c:v>
                </c:pt>
                <c:pt idx="50">
                  <c:v>Lended money returned to vishnu</c:v>
                </c:pt>
                <c:pt idx="51">
                  <c:v>Lunch</c:v>
                </c:pt>
                <c:pt idx="52">
                  <c:v>Lunch + chocolate for preethi</c:v>
                </c:pt>
                <c:pt idx="53">
                  <c:v>Lunch pongal</c:v>
                </c:pt>
                <c:pt idx="54">
                  <c:v>Lunch unlimited nv</c:v>
                </c:pt>
                <c:pt idx="55">
                  <c:v>Lunch with barath</c:v>
                </c:pt>
                <c:pt idx="56">
                  <c:v>Lunch with company</c:v>
                </c:pt>
                <c:pt idx="57">
                  <c:v>Lunch with gowdham</c:v>
                </c:pt>
                <c:pt idx="58">
                  <c:v>Lunch with not preethi</c:v>
                </c:pt>
                <c:pt idx="59">
                  <c:v>Metro</c:v>
                </c:pt>
                <c:pt idx="60">
                  <c:v>Milk with bharath</c:v>
                </c:pt>
                <c:pt idx="61">
                  <c:v>Mirror</c:v>
                </c:pt>
                <c:pt idx="62">
                  <c:v>Paani poori</c:v>
                </c:pt>
                <c:pt idx="63">
                  <c:v>Panipoori</c:v>
                </c:pt>
                <c:pt idx="64">
                  <c:v>Parotta</c:v>
                </c:pt>
                <c:pt idx="65">
                  <c:v>Pepsi</c:v>
                </c:pt>
                <c:pt idx="66">
                  <c:v>Pg to office</c:v>
                </c:pt>
                <c:pt idx="67">
                  <c:v>Pizza</c:v>
                </c:pt>
                <c:pt idx="68">
                  <c:v>Puffs</c:v>
                </c:pt>
                <c:pt idx="69">
                  <c:v>Puffs and coffee</c:v>
                </c:pt>
                <c:pt idx="70">
                  <c:v>Ramen with gobi</c:v>
                </c:pt>
                <c:pt idx="71">
                  <c:v>Random stuff for drinks</c:v>
                </c:pt>
                <c:pt idx="72">
                  <c:v>Rapido</c:v>
                </c:pt>
                <c:pt idx="73">
                  <c:v>Rapido + toll</c:v>
                </c:pt>
                <c:pt idx="74">
                  <c:v>Rapido to pg</c:v>
                </c:pt>
                <c:pt idx="75">
                  <c:v>Recharge by gowdham</c:v>
                </c:pt>
                <c:pt idx="76">
                  <c:v>Refund for bus ticket</c:v>
                </c:pt>
                <c:pt idx="77">
                  <c:v>Rent</c:v>
                </c:pt>
                <c:pt idx="78">
                  <c:v>Sent to barath</c:v>
                </c:pt>
                <c:pt idx="79">
                  <c:v>Sent to preethi</c:v>
                </c:pt>
                <c:pt idx="80">
                  <c:v>Sent to vicky</c:v>
                </c:pt>
                <c:pt idx="81">
                  <c:v>Shawarma</c:v>
                </c:pt>
                <c:pt idx="82">
                  <c:v>Side dishes</c:v>
                </c:pt>
                <c:pt idx="83">
                  <c:v>Snack</c:v>
                </c:pt>
                <c:pt idx="84">
                  <c:v>Snack with preethi</c:v>
                </c:pt>
                <c:pt idx="85">
                  <c:v>Snacks</c:v>
                </c:pt>
                <c:pt idx="86">
                  <c:v>Snacks with preethi and azar</c:v>
                </c:pt>
                <c:pt idx="87">
                  <c:v>Spiderman </c:v>
                </c:pt>
                <c:pt idx="88">
                  <c:v>Stuffs</c:v>
                </c:pt>
                <c:pt idx="89">
                  <c:v>Tablet to gowdham</c:v>
                </c:pt>
                <c:pt idx="90">
                  <c:v>Tamen</c:v>
                </c:pt>
                <c:pt idx="91">
                  <c:v>Taxi</c:v>
                </c:pt>
                <c:pt idx="92">
                  <c:v>Tea lights</c:v>
                </c:pt>
                <c:pt idx="93">
                  <c:v>To abijith</c:v>
                </c:pt>
                <c:pt idx="94">
                  <c:v>To abijith and to vicky lend money returned</c:v>
                </c:pt>
                <c:pt idx="95">
                  <c:v>To auto anna</c:v>
                </c:pt>
                <c:pt idx="96">
                  <c:v>To barath</c:v>
                </c:pt>
                <c:pt idx="97">
                  <c:v>To chennai</c:v>
                </c:pt>
                <c:pt idx="98">
                  <c:v>To egmore</c:v>
                </c:pt>
                <c:pt idx="99">
                  <c:v>To gobi</c:v>
                </c:pt>
                <c:pt idx="100">
                  <c:v>To gobi 1st 1/4th</c:v>
                </c:pt>
                <c:pt idx="101">
                  <c:v>To gowdham</c:v>
                </c:pt>
                <c:pt idx="102">
                  <c:v>To karthi</c:v>
                </c:pt>
                <c:pt idx="103">
                  <c:v>To ksr station</c:v>
                </c:pt>
                <c:pt idx="104">
                  <c:v>To kumara</c:v>
                </c:pt>
                <c:pt idx="105">
                  <c:v>To lended people</c:v>
                </c:pt>
                <c:pt idx="106">
                  <c:v>To rahul</c:v>
                </c:pt>
                <c:pt idx="107">
                  <c:v>To siva</c:v>
                </c:pt>
                <c:pt idx="108">
                  <c:v>To vicky</c:v>
                </c:pt>
                <c:pt idx="109">
                  <c:v>To vishnu</c:v>
                </c:pt>
                <c:pt idx="110">
                  <c:v>Took from sbi</c:v>
                </c:pt>
                <c:pt idx="111">
                  <c:v>Train cbe to chn</c:v>
                </c:pt>
                <c:pt idx="112">
                  <c:v>Train to vnr</c:v>
                </c:pt>
                <c:pt idx="113">
                  <c:v>Travel to koyambedu</c:v>
                </c:pt>
                <c:pt idx="114">
                  <c:v>Vnr to apk</c:v>
                </c:pt>
                <c:pt idx="115">
                  <c:v>Water</c:v>
                </c:pt>
                <c:pt idx="116">
                  <c:v>Zinger box meal</c:v>
                </c:pt>
                <c:pt idx="117">
                  <c:v>Zomato</c:v>
                </c:pt>
              </c:strCache>
            </c:strRef>
          </c:cat>
          <c:val>
            <c:numRef>
              <c:f>Sheet2!$N$24:$N$142</c:f>
              <c:numCache>
                <c:formatCode>General</c:formatCode>
                <c:ptCount val="118"/>
                <c:pt idx="0">
                  <c:v>14000</c:v>
                </c:pt>
                <c:pt idx="1">
                  <c:v>214</c:v>
                </c:pt>
                <c:pt idx="2">
                  <c:v>200</c:v>
                </c:pt>
                <c:pt idx="3">
                  <c:v>10</c:v>
                </c:pt>
                <c:pt idx="4">
                  <c:v>8297</c:v>
                </c:pt>
                <c:pt idx="5">
                  <c:v>1500</c:v>
                </c:pt>
                <c:pt idx="6">
                  <c:v>115</c:v>
                </c:pt>
                <c:pt idx="7">
                  <c:v>10</c:v>
                </c:pt>
                <c:pt idx="8">
                  <c:v>199</c:v>
                </c:pt>
                <c:pt idx="9">
                  <c:v>400</c:v>
                </c:pt>
                <c:pt idx="10">
                  <c:v>110</c:v>
                </c:pt>
                <c:pt idx="11">
                  <c:v>50</c:v>
                </c:pt>
                <c:pt idx="12">
                  <c:v>105</c:v>
                </c:pt>
                <c:pt idx="13">
                  <c:v>18</c:v>
                </c:pt>
                <c:pt idx="14">
                  <c:v>1575</c:v>
                </c:pt>
                <c:pt idx="15">
                  <c:v>1365</c:v>
                </c:pt>
                <c:pt idx="16">
                  <c:v>306</c:v>
                </c:pt>
                <c:pt idx="17">
                  <c:v>125</c:v>
                </c:pt>
                <c:pt idx="18">
                  <c:v>50</c:v>
                </c:pt>
                <c:pt idx="19">
                  <c:v>1599</c:v>
                </c:pt>
                <c:pt idx="20">
                  <c:v>14</c:v>
                </c:pt>
                <c:pt idx="21">
                  <c:v>300</c:v>
                </c:pt>
                <c:pt idx="22">
                  <c:v>289</c:v>
                </c:pt>
                <c:pt idx="23">
                  <c:v>120</c:v>
                </c:pt>
                <c:pt idx="24">
                  <c:v>10</c:v>
                </c:pt>
                <c:pt idx="25">
                  <c:v>1115.1500000000001</c:v>
                </c:pt>
                <c:pt idx="26">
                  <c:v>373</c:v>
                </c:pt>
                <c:pt idx="27">
                  <c:v>491</c:v>
                </c:pt>
                <c:pt idx="28">
                  <c:v>943</c:v>
                </c:pt>
                <c:pt idx="29">
                  <c:v>250</c:v>
                </c:pt>
                <c:pt idx="30">
                  <c:v>877.81</c:v>
                </c:pt>
                <c:pt idx="31">
                  <c:v>3997</c:v>
                </c:pt>
                <c:pt idx="32">
                  <c:v>300</c:v>
                </c:pt>
                <c:pt idx="33">
                  <c:v>83</c:v>
                </c:pt>
                <c:pt idx="34">
                  <c:v>1100</c:v>
                </c:pt>
                <c:pt idx="35">
                  <c:v>106</c:v>
                </c:pt>
                <c:pt idx="36">
                  <c:v>100</c:v>
                </c:pt>
                <c:pt idx="37">
                  <c:v>50</c:v>
                </c:pt>
                <c:pt idx="38">
                  <c:v>50</c:v>
                </c:pt>
                <c:pt idx="39">
                  <c:v>3999</c:v>
                </c:pt>
                <c:pt idx="40">
                  <c:v>25</c:v>
                </c:pt>
                <c:pt idx="41">
                  <c:v>1300</c:v>
                </c:pt>
                <c:pt idx="42">
                  <c:v>354</c:v>
                </c:pt>
                <c:pt idx="43">
                  <c:v>200</c:v>
                </c:pt>
                <c:pt idx="44">
                  <c:v>475</c:v>
                </c:pt>
                <c:pt idx="45">
                  <c:v>259</c:v>
                </c:pt>
                <c:pt idx="46">
                  <c:v>989</c:v>
                </c:pt>
                <c:pt idx="47">
                  <c:v>18</c:v>
                </c:pt>
                <c:pt idx="48">
                  <c:v>15</c:v>
                </c:pt>
                <c:pt idx="49">
                  <c:v>30</c:v>
                </c:pt>
                <c:pt idx="50">
                  <c:v>40</c:v>
                </c:pt>
                <c:pt idx="51">
                  <c:v>1495</c:v>
                </c:pt>
                <c:pt idx="52">
                  <c:v>171</c:v>
                </c:pt>
                <c:pt idx="53">
                  <c:v>1530</c:v>
                </c:pt>
                <c:pt idx="54">
                  <c:v>300</c:v>
                </c:pt>
                <c:pt idx="55">
                  <c:v>200</c:v>
                </c:pt>
                <c:pt idx="56">
                  <c:v>3101</c:v>
                </c:pt>
                <c:pt idx="57">
                  <c:v>535.29999999999995</c:v>
                </c:pt>
                <c:pt idx="58">
                  <c:v>135.5</c:v>
                </c:pt>
                <c:pt idx="59">
                  <c:v>90</c:v>
                </c:pt>
                <c:pt idx="60">
                  <c:v>1060</c:v>
                </c:pt>
                <c:pt idx="61">
                  <c:v>7770</c:v>
                </c:pt>
                <c:pt idx="62">
                  <c:v>25</c:v>
                </c:pt>
                <c:pt idx="63">
                  <c:v>140</c:v>
                </c:pt>
                <c:pt idx="64">
                  <c:v>120</c:v>
                </c:pt>
                <c:pt idx="65">
                  <c:v>40</c:v>
                </c:pt>
                <c:pt idx="66">
                  <c:v>43</c:v>
                </c:pt>
                <c:pt idx="67">
                  <c:v>640.9</c:v>
                </c:pt>
                <c:pt idx="68">
                  <c:v>25</c:v>
                </c:pt>
                <c:pt idx="69">
                  <c:v>32</c:v>
                </c:pt>
                <c:pt idx="70">
                  <c:v>380</c:v>
                </c:pt>
                <c:pt idx="71">
                  <c:v>111</c:v>
                </c:pt>
                <c:pt idx="72">
                  <c:v>35</c:v>
                </c:pt>
                <c:pt idx="73">
                  <c:v>286</c:v>
                </c:pt>
                <c:pt idx="74">
                  <c:v>559</c:v>
                </c:pt>
                <c:pt idx="75">
                  <c:v>479</c:v>
                </c:pt>
                <c:pt idx="76">
                  <c:v>600</c:v>
                </c:pt>
                <c:pt idx="77">
                  <c:v>4580</c:v>
                </c:pt>
                <c:pt idx="78">
                  <c:v>100</c:v>
                </c:pt>
                <c:pt idx="79">
                  <c:v>107</c:v>
                </c:pt>
                <c:pt idx="80">
                  <c:v>300</c:v>
                </c:pt>
                <c:pt idx="81">
                  <c:v>80</c:v>
                </c:pt>
                <c:pt idx="82">
                  <c:v>165</c:v>
                </c:pt>
                <c:pt idx="83">
                  <c:v>94</c:v>
                </c:pt>
                <c:pt idx="84">
                  <c:v>59</c:v>
                </c:pt>
                <c:pt idx="85">
                  <c:v>1441</c:v>
                </c:pt>
                <c:pt idx="86">
                  <c:v>176</c:v>
                </c:pt>
                <c:pt idx="87">
                  <c:v>1363.72</c:v>
                </c:pt>
                <c:pt idx="88">
                  <c:v>34163</c:v>
                </c:pt>
                <c:pt idx="89">
                  <c:v>8</c:v>
                </c:pt>
                <c:pt idx="90">
                  <c:v>324.7</c:v>
                </c:pt>
                <c:pt idx="91">
                  <c:v>800</c:v>
                </c:pt>
                <c:pt idx="92">
                  <c:v>84</c:v>
                </c:pt>
                <c:pt idx="93">
                  <c:v>200</c:v>
                </c:pt>
                <c:pt idx="94">
                  <c:v>500</c:v>
                </c:pt>
                <c:pt idx="95">
                  <c:v>50</c:v>
                </c:pt>
                <c:pt idx="96">
                  <c:v>20</c:v>
                </c:pt>
                <c:pt idx="97">
                  <c:v>1000</c:v>
                </c:pt>
                <c:pt idx="98">
                  <c:v>2709</c:v>
                </c:pt>
                <c:pt idx="99">
                  <c:v>4500</c:v>
                </c:pt>
                <c:pt idx="100">
                  <c:v>500</c:v>
                </c:pt>
                <c:pt idx="101">
                  <c:v>150</c:v>
                </c:pt>
                <c:pt idx="102">
                  <c:v>100</c:v>
                </c:pt>
                <c:pt idx="103">
                  <c:v>153</c:v>
                </c:pt>
                <c:pt idx="104">
                  <c:v>10350</c:v>
                </c:pt>
                <c:pt idx="105">
                  <c:v>300</c:v>
                </c:pt>
                <c:pt idx="106">
                  <c:v>113</c:v>
                </c:pt>
                <c:pt idx="107">
                  <c:v>10000</c:v>
                </c:pt>
                <c:pt idx="108">
                  <c:v>580</c:v>
                </c:pt>
                <c:pt idx="109">
                  <c:v>1100</c:v>
                </c:pt>
                <c:pt idx="110">
                  <c:v>200</c:v>
                </c:pt>
                <c:pt idx="111">
                  <c:v>201.8</c:v>
                </c:pt>
                <c:pt idx="112">
                  <c:v>4050</c:v>
                </c:pt>
                <c:pt idx="113">
                  <c:v>138</c:v>
                </c:pt>
                <c:pt idx="114">
                  <c:v>50</c:v>
                </c:pt>
                <c:pt idx="115">
                  <c:v>70</c:v>
                </c:pt>
                <c:pt idx="116">
                  <c:v>279</c:v>
                </c:pt>
                <c:pt idx="117">
                  <c:v>269.39999999999998</c:v>
                </c:pt>
              </c:numCache>
            </c:numRef>
          </c:val>
          <c:extLst>
            <c:ext xmlns:c16="http://schemas.microsoft.com/office/drawing/2014/chart" uri="{C3380CC4-5D6E-409C-BE32-E72D297353CC}">
              <c16:uniqueId val="{00000000-8B99-4113-ADC0-7876075947EF}"/>
            </c:ext>
          </c:extLst>
        </c:ser>
        <c:dLbls>
          <c:showLegendKey val="0"/>
          <c:showVal val="0"/>
          <c:showCatName val="0"/>
          <c:showSerName val="0"/>
          <c:showPercent val="0"/>
          <c:showBubbleSize val="0"/>
        </c:dLbls>
        <c:gapWidth val="219"/>
        <c:overlap val="-27"/>
        <c:axId val="441314351"/>
        <c:axId val="441314831"/>
      </c:barChart>
      <c:catAx>
        <c:axId val="44131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14831"/>
        <c:crosses val="autoZero"/>
        <c:auto val="1"/>
        <c:lblAlgn val="ctr"/>
        <c:lblOffset val="100"/>
        <c:noMultiLvlLbl val="0"/>
      </c:catAx>
      <c:valAx>
        <c:axId val="44131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1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Analysis.xlsx]Sheet2!PivotTable5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Sheet2!$L$44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AB-4C98-8754-784F6BC36D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AB-4C98-8754-784F6BC36D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AB-4C98-8754-784F6BC36D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5AB-4C98-8754-784F6BC36D8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5AB-4C98-8754-784F6BC36D8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5AB-4C98-8754-784F6BC36D8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5AB-4C98-8754-784F6BC36D8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5AB-4C98-8754-784F6BC36D87}"/>
              </c:ext>
            </c:extLst>
          </c:dPt>
          <c:cat>
            <c:strRef>
              <c:f>Sheet2!$K$45:$K$53</c:f>
              <c:strCache>
                <c:ptCount val="8"/>
                <c:pt idx="0">
                  <c:v>Allowance</c:v>
                </c:pt>
                <c:pt idx="1">
                  <c:v>Apparel</c:v>
                </c:pt>
                <c:pt idx="2">
                  <c:v>Education</c:v>
                </c:pt>
                <c:pt idx="3">
                  <c:v>Food</c:v>
                </c:pt>
                <c:pt idx="4">
                  <c:v>Household</c:v>
                </c:pt>
                <c:pt idx="5">
                  <c:v>Other</c:v>
                </c:pt>
                <c:pt idx="6">
                  <c:v>Salary</c:v>
                </c:pt>
                <c:pt idx="7">
                  <c:v>Transportation</c:v>
                </c:pt>
              </c:strCache>
            </c:strRef>
          </c:cat>
          <c:val>
            <c:numRef>
              <c:f>Sheet2!$L$45:$L$53</c:f>
              <c:numCache>
                <c:formatCode>General</c:formatCode>
                <c:ptCount val="8"/>
                <c:pt idx="0">
                  <c:v>13000</c:v>
                </c:pt>
                <c:pt idx="1">
                  <c:v>0</c:v>
                </c:pt>
                <c:pt idx="2">
                  <c:v>0</c:v>
                </c:pt>
                <c:pt idx="3">
                  <c:v>0</c:v>
                </c:pt>
                <c:pt idx="4">
                  <c:v>0</c:v>
                </c:pt>
                <c:pt idx="5">
                  <c:v>24237</c:v>
                </c:pt>
                <c:pt idx="6">
                  <c:v>660910</c:v>
                </c:pt>
                <c:pt idx="7">
                  <c:v>0</c:v>
                </c:pt>
              </c:numCache>
            </c:numRef>
          </c:val>
          <c:extLst>
            <c:ext xmlns:c16="http://schemas.microsoft.com/office/drawing/2014/chart" uri="{C3380CC4-5D6E-409C-BE32-E72D297353CC}">
              <c16:uniqueId val="{00000000-432C-4077-A051-918F0A6D22B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
          <c:y val="0.10662037037037039"/>
          <c:w val="0.33333333333333331"/>
          <c:h val="0.841710775736366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[Personal Finance Analysis.xlsx]Sheet2!PivotTable1</c:name>
    <c:fmtId val="4"/>
  </c:pivotSource>
  <c:chart>
    <c:title>
      <c:tx>
        <c:rich>
          <a:bodyPr rot="0" spcFirstLastPara="1" vertOverflow="ellipsis" vert="horz" wrap="square" anchor="ctr" anchorCtr="1"/>
          <a:lstStyle/>
          <a:p>
            <a:pPr>
              <a:defRPr sz="1800" b="1" i="0" u="none" strike="noStrike" kern="1200" cap="all" spc="100" normalizeH="0" baseline="0">
                <a:solidFill>
                  <a:schemeClr val="lt1"/>
                </a:solidFill>
                <a:latin typeface="+mn-lt"/>
                <a:ea typeface="+mn-ea"/>
                <a:cs typeface="+mn-cs"/>
              </a:defRPr>
            </a:pPr>
            <a:r>
              <a:rPr lang="en-US" sz="1800"/>
              <a:t>Total INCOME &amp; EXPENSE</a:t>
            </a:r>
          </a:p>
        </c:rich>
      </c:tx>
      <c:overlay val="0"/>
      <c:spPr>
        <a:noFill/>
        <a:ln>
          <a:noFill/>
        </a:ln>
        <a:effectLst/>
      </c:spPr>
      <c:txPr>
        <a:bodyPr rot="0" spcFirstLastPara="1" vertOverflow="ellipsis" vert="horz" wrap="square" anchor="ctr" anchorCtr="1"/>
        <a:lstStyle/>
        <a:p>
          <a:pPr>
            <a:defRPr sz="18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5400" cap="rnd">
            <a:solidFill>
              <a:schemeClr val="lt1"/>
            </a:solidFill>
            <a:round/>
          </a:ln>
          <a:effectLst>
            <a:outerShdw dist="25400" dir="2700000" algn="tl" rotWithShape="0">
              <a:schemeClr val="dk1">
                <a:tint val="88500"/>
              </a:schemeClr>
            </a:outerShdw>
          </a:effectLst>
        </c:spPr>
        <c:marker>
          <c:symbol val="circle"/>
          <c:size val="14"/>
          <c:spPr>
            <a:solidFill>
              <a:schemeClr val="dk1">
                <a:tint val="88500"/>
              </a:schemeClr>
            </a:solidFill>
            <a:ln>
              <a:noFill/>
            </a:ln>
            <a:effectLst/>
          </c:spPr>
        </c:marker>
        <c:dLbl>
          <c:idx val="0"/>
          <c:spPr>
            <a:solidFill>
              <a:sysClr val="windowText" lastClr="000000">
                <a:tint val="88500"/>
              </a:sys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Sheet2!$K$6</c:f>
              <c:strCache>
                <c:ptCount val="1"/>
                <c:pt idx="0">
                  <c:v>Total</c:v>
                </c:pt>
              </c:strCache>
            </c:strRef>
          </c:tx>
          <c:spPr>
            <a:ln w="25400" cap="rnd">
              <a:solidFill>
                <a:schemeClr val="lt1"/>
              </a:solidFill>
              <a:round/>
            </a:ln>
            <a:effectLst>
              <a:outerShdw dist="25400" dir="2700000" algn="tl" rotWithShape="0">
                <a:schemeClr val="dk1">
                  <a:tint val="88500"/>
                </a:schemeClr>
              </a:outerShdw>
            </a:effectLst>
          </c:spPr>
          <c:marker>
            <c:symbol val="circle"/>
            <c:size val="14"/>
            <c:spPr>
              <a:solidFill>
                <a:schemeClr val="dk1">
                  <a:tint val="88500"/>
                </a:schemeClr>
              </a:solidFill>
              <a:ln>
                <a:noFill/>
              </a:ln>
              <a:effectLst/>
            </c:spPr>
          </c:marker>
          <c:dLbls>
            <c:spPr>
              <a:solidFill>
                <a:sysClr val="windowText" lastClr="000000">
                  <a:tint val="88500"/>
                </a:sys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Sheet2!$J$7:$J$19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Sheet2!$K$7:$K$19</c:f>
              <c:numCache>
                <c:formatCode>General</c:formatCode>
                <c:ptCount val="12"/>
                <c:pt idx="0">
                  <c:v>13244.15</c:v>
                </c:pt>
                <c:pt idx="1">
                  <c:v>17200.95</c:v>
                </c:pt>
                <c:pt idx="2">
                  <c:v>11145</c:v>
                </c:pt>
                <c:pt idx="3">
                  <c:v>20739</c:v>
                </c:pt>
                <c:pt idx="4">
                  <c:v>8945.7200000000012</c:v>
                </c:pt>
                <c:pt idx="5">
                  <c:v>12651.81</c:v>
                </c:pt>
                <c:pt idx="6">
                  <c:v>8694</c:v>
                </c:pt>
                <c:pt idx="7">
                  <c:v>5711</c:v>
                </c:pt>
                <c:pt idx="8">
                  <c:v>6662</c:v>
                </c:pt>
                <c:pt idx="9">
                  <c:v>13521</c:v>
                </c:pt>
                <c:pt idx="10">
                  <c:v>7312.9</c:v>
                </c:pt>
                <c:pt idx="11">
                  <c:v>24025.75</c:v>
                </c:pt>
              </c:numCache>
            </c:numRef>
          </c:val>
          <c:smooth val="0"/>
          <c:extLst>
            <c:ext xmlns:c16="http://schemas.microsoft.com/office/drawing/2014/chart" uri="{C3380CC4-5D6E-409C-BE32-E72D297353CC}">
              <c16:uniqueId val="{00000000-DDA0-45DC-9054-1EAB8BA72F01}"/>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26398975"/>
        <c:axId val="226399455"/>
      </c:lineChart>
      <c:catAx>
        <c:axId val="226398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26399455"/>
        <c:crosses val="autoZero"/>
        <c:auto val="1"/>
        <c:lblAlgn val="ctr"/>
        <c:lblOffset val="100"/>
        <c:noMultiLvlLbl val="0"/>
      </c:catAx>
      <c:valAx>
        <c:axId val="226399455"/>
        <c:scaling>
          <c:orientation val="minMax"/>
        </c:scaling>
        <c:delete val="1"/>
        <c:axPos val="l"/>
        <c:numFmt formatCode="General" sourceLinked="1"/>
        <c:majorTickMark val="none"/>
        <c:minorTickMark val="none"/>
        <c:tickLblPos val="nextTo"/>
        <c:crossAx val="22639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Analysis.xlsx]Sheet2!PivotTable3</c:name>
    <c:fmtId val="10"/>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WHERE</a:t>
            </a:r>
            <a:r>
              <a:rPr lang="en-US" baseline="0">
                <a:solidFill>
                  <a:schemeClr val="bg1"/>
                </a:solidFill>
              </a:rPr>
              <a:t> MONEY WAS SPENT</a:t>
            </a:r>
            <a:endParaRPr lang="en-US">
              <a:solidFill>
                <a:schemeClr val="bg1"/>
              </a:solidFill>
            </a:endParaRPr>
          </a:p>
        </c:rich>
      </c:tx>
      <c:layout>
        <c:manualLayout>
          <c:xMode val="edge"/>
          <c:yMode val="edge"/>
          <c:x val="0.2039637726205277"/>
          <c:y val="0.2109215514727325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1"/>
        <c:spPr>
          <a:solidFill>
            <a:schemeClr val="accent1"/>
          </a:solidFill>
          <a:ln>
            <a:noFill/>
          </a:ln>
          <a:effectLst>
            <a:outerShdw blurRad="317500" algn="ctr" rotWithShape="0">
              <a:prstClr val="black">
                <a:alpha val="25000"/>
              </a:prstClr>
            </a:outerShdw>
          </a:effectLst>
        </c:spPr>
      </c:pivotFmt>
      <c:pivotFmt>
        <c:idx val="162"/>
        <c:spPr>
          <a:solidFill>
            <a:schemeClr val="accent1"/>
          </a:solidFill>
          <a:ln>
            <a:noFill/>
          </a:ln>
          <a:effectLst>
            <a:outerShdw blurRad="317500" algn="ctr" rotWithShape="0">
              <a:prstClr val="black">
                <a:alpha val="25000"/>
              </a:prstClr>
            </a:outerShdw>
          </a:effectLst>
        </c:spPr>
      </c:pivotFmt>
      <c:pivotFmt>
        <c:idx val="163"/>
        <c:spPr>
          <a:solidFill>
            <a:schemeClr val="accent1"/>
          </a:solidFill>
          <a:ln>
            <a:noFill/>
          </a:ln>
          <a:effectLst>
            <a:outerShdw blurRad="317500" algn="ctr" rotWithShape="0">
              <a:prstClr val="black">
                <a:alpha val="25000"/>
              </a:prstClr>
            </a:outerShdw>
          </a:effectLst>
        </c:spPr>
      </c:pivotFmt>
      <c:pivotFmt>
        <c:idx val="164"/>
        <c:spPr>
          <a:solidFill>
            <a:schemeClr val="accent1"/>
          </a:solidFill>
          <a:ln>
            <a:noFill/>
          </a:ln>
          <a:effectLst>
            <a:outerShdw blurRad="317500" algn="ctr" rotWithShape="0">
              <a:prstClr val="black">
                <a:alpha val="25000"/>
              </a:prstClr>
            </a:outerShdw>
          </a:effectLst>
        </c:spPr>
      </c:pivotFmt>
      <c:pivotFmt>
        <c:idx val="165"/>
        <c:spPr>
          <a:solidFill>
            <a:schemeClr val="accent1"/>
          </a:solidFill>
          <a:ln>
            <a:noFill/>
          </a:ln>
          <a:effectLst>
            <a:outerShdw blurRad="317500" algn="ctr" rotWithShape="0">
              <a:prstClr val="black">
                <a:alpha val="25000"/>
              </a:prstClr>
            </a:outerShdw>
          </a:effectLst>
        </c:spPr>
      </c:pivotFmt>
      <c:pivotFmt>
        <c:idx val="166"/>
        <c:spPr>
          <a:solidFill>
            <a:schemeClr val="accent1"/>
          </a:solidFill>
          <a:ln>
            <a:noFill/>
          </a:ln>
          <a:effectLst>
            <a:outerShdw blurRad="317500" algn="ctr" rotWithShape="0">
              <a:prstClr val="black">
                <a:alpha val="25000"/>
              </a:prstClr>
            </a:outerShdw>
          </a:effectLst>
        </c:spPr>
      </c:pivotFmt>
      <c:pivotFmt>
        <c:idx val="16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8"/>
        <c:spPr>
          <a:solidFill>
            <a:schemeClr val="accent1"/>
          </a:solidFill>
          <a:ln>
            <a:noFill/>
          </a:ln>
          <a:effectLst>
            <a:outerShdw blurRad="317500" algn="ctr" rotWithShape="0">
              <a:prstClr val="black">
                <a:alpha val="25000"/>
              </a:prstClr>
            </a:outerShdw>
          </a:effectLst>
        </c:spPr>
      </c:pivotFmt>
      <c:pivotFmt>
        <c:idx val="169"/>
        <c:spPr>
          <a:solidFill>
            <a:schemeClr val="accent1"/>
          </a:solidFill>
          <a:ln>
            <a:noFill/>
          </a:ln>
          <a:effectLst>
            <a:outerShdw blurRad="317500" algn="ctr" rotWithShape="0">
              <a:prstClr val="black">
                <a:alpha val="25000"/>
              </a:prstClr>
            </a:outerShdw>
          </a:effectLst>
        </c:spPr>
      </c:pivotFmt>
      <c:pivotFmt>
        <c:idx val="170"/>
        <c:spPr>
          <a:solidFill>
            <a:schemeClr val="accent1"/>
          </a:solidFill>
          <a:ln>
            <a:noFill/>
          </a:ln>
          <a:effectLst>
            <a:outerShdw blurRad="317500" algn="ctr" rotWithShape="0">
              <a:prstClr val="black">
                <a:alpha val="25000"/>
              </a:prstClr>
            </a:outerShdw>
          </a:effectLst>
        </c:spPr>
      </c:pivotFmt>
      <c:pivotFmt>
        <c:idx val="171"/>
        <c:spPr>
          <a:solidFill>
            <a:schemeClr val="accent1"/>
          </a:solidFill>
          <a:ln>
            <a:noFill/>
          </a:ln>
          <a:effectLst>
            <a:outerShdw blurRad="317500" algn="ctr" rotWithShape="0">
              <a:prstClr val="black">
                <a:alpha val="25000"/>
              </a:prstClr>
            </a:outerShdw>
          </a:effectLst>
        </c:spPr>
      </c:pivotFmt>
      <c:pivotFmt>
        <c:idx val="172"/>
        <c:spPr>
          <a:solidFill>
            <a:schemeClr val="accent1"/>
          </a:solidFill>
          <a:ln>
            <a:noFill/>
          </a:ln>
          <a:effectLst>
            <a:outerShdw blurRad="317500" algn="ctr" rotWithShape="0">
              <a:prstClr val="black">
                <a:alpha val="25000"/>
              </a:prstClr>
            </a:outerShdw>
          </a:effectLst>
        </c:spPr>
      </c:pivotFmt>
      <c:pivotFmt>
        <c:idx val="17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Sheet2!$K$27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1E8-499F-81D5-9D618161107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1E8-499F-81D5-9D618161107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1E8-499F-81D5-9D618161107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1E8-499F-81D5-9D618161107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1E8-499F-81D5-9D6181611076}"/>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71E8-499F-81D5-9D618161107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Sheet2!$J$28:$J$35</c:f>
              <c:multiLvlStrCache>
                <c:ptCount val="6"/>
                <c:lvl>
                  <c:pt idx="0">
                    <c:v>Apparel</c:v>
                  </c:pt>
                  <c:pt idx="1">
                    <c:v>Education</c:v>
                  </c:pt>
                  <c:pt idx="2">
                    <c:v>Food</c:v>
                  </c:pt>
                  <c:pt idx="3">
                    <c:v>Household</c:v>
                  </c:pt>
                  <c:pt idx="4">
                    <c:v>Other</c:v>
                  </c:pt>
                  <c:pt idx="5">
                    <c:v>Transportation</c:v>
                  </c:pt>
                </c:lvl>
                <c:lvl>
                  <c:pt idx="0">
                    <c:v>Expense</c:v>
                  </c:pt>
                </c:lvl>
              </c:multiLvlStrCache>
            </c:multiLvlStrRef>
          </c:cat>
          <c:val>
            <c:numRef>
              <c:f>Sheet2!$K$28:$K$35</c:f>
              <c:numCache>
                <c:formatCode>General</c:formatCode>
                <c:ptCount val="6"/>
                <c:pt idx="0">
                  <c:v>11674.72</c:v>
                </c:pt>
                <c:pt idx="1">
                  <c:v>14000</c:v>
                </c:pt>
                <c:pt idx="2">
                  <c:v>24607.760000000002</c:v>
                </c:pt>
                <c:pt idx="3">
                  <c:v>54810</c:v>
                </c:pt>
                <c:pt idx="4">
                  <c:v>28887</c:v>
                </c:pt>
                <c:pt idx="5">
                  <c:v>15873.8</c:v>
                </c:pt>
              </c:numCache>
            </c:numRef>
          </c:val>
          <c:extLst>
            <c:ext xmlns:c16="http://schemas.microsoft.com/office/drawing/2014/chart" uri="{C3380CC4-5D6E-409C-BE32-E72D297353CC}">
              <c16:uniqueId val="{0000000C-71E8-499F-81D5-9D618161107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3"/>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4"/>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5"/>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ayout>
        <c:manualLayout>
          <c:xMode val="edge"/>
          <c:yMode val="edge"/>
          <c:x val="0.75825252106644569"/>
          <c:y val="7.365777194517352E-2"/>
          <c:w val="0.22858958419671224"/>
          <c:h val="0.72654819189268005"/>
        </c:manualLayout>
      </c:layout>
      <c:overlay val="0"/>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[Personal Finance Analysis.xlsx]Sheet2!PivotTable4</c:name>
    <c:fmtId val="2"/>
  </c:pivotSource>
  <c:chart>
    <c:title>
      <c:tx>
        <c:rich>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r>
              <a:rPr lang="en-US">
                <a:solidFill>
                  <a:schemeClr val="bg1"/>
                </a:solidFill>
              </a:rPr>
              <a:t>Total SPENDING ON SUB CATEGORIES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Sheet2!$N$23</c:f>
              <c:strCache>
                <c:ptCount val="1"/>
                <c:pt idx="0">
                  <c:v>Total</c:v>
                </c:pt>
              </c:strCache>
            </c:strRef>
          </c:tx>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16200000" scaled="1"/>
              <a:tileRect/>
            </a:gradFill>
            <a:ln>
              <a:noFill/>
            </a:ln>
            <a:effectLst/>
          </c:spPr>
          <c:invertIfNegative val="0"/>
          <c:cat>
            <c:strRef>
              <c:f>Sheet2!$M$24:$M$142</c:f>
              <c:strCache>
                <c:ptCount val="118"/>
                <c:pt idx="0">
                  <c:v>Arrear and reval fee</c:v>
                </c:pt>
                <c:pt idx="1">
                  <c:v>Auto to Gobi's place</c:v>
                </c:pt>
                <c:pt idx="2">
                  <c:v>Badminton</c:v>
                </c:pt>
                <c:pt idx="3">
                  <c:v>Banana</c:v>
                </c:pt>
                <c:pt idx="4">
                  <c:v>Bean bag</c:v>
                </c:pt>
                <c:pt idx="5">
                  <c:v>Beer</c:v>
                </c:pt>
                <c:pt idx="6">
                  <c:v>Bharath birthday</c:v>
                </c:pt>
                <c:pt idx="7">
                  <c:v>Bingo</c:v>
                </c:pt>
                <c:pt idx="8">
                  <c:v>Bommasandra to pg</c:v>
                </c:pt>
                <c:pt idx="9">
                  <c:v>Books</c:v>
                </c:pt>
                <c:pt idx="10">
                  <c:v>Breakfast</c:v>
                </c:pt>
                <c:pt idx="11">
                  <c:v>Brownie</c:v>
                </c:pt>
                <c:pt idx="12">
                  <c:v>Brunch</c:v>
                </c:pt>
                <c:pt idx="13">
                  <c:v>Bun</c:v>
                </c:pt>
                <c:pt idx="14">
                  <c:v>Bus ticket</c:v>
                </c:pt>
                <c:pt idx="15">
                  <c:v>Bus to Bangalore</c:v>
                </c:pt>
                <c:pt idx="16">
                  <c:v>Cab</c:v>
                </c:pt>
                <c:pt idx="17">
                  <c:v>Cakepark</c:v>
                </c:pt>
                <c:pt idx="18">
                  <c:v>Coconut water with stu</c:v>
                </c:pt>
                <c:pt idx="19">
                  <c:v>Coffee + biscuit</c:v>
                </c:pt>
                <c:pt idx="20">
                  <c:v>Coffee and thattai</c:v>
                </c:pt>
                <c:pt idx="21">
                  <c:v>Corn</c:v>
                </c:pt>
                <c:pt idx="22">
                  <c:v>Creamstone</c:v>
                </c:pt>
                <c:pt idx="23">
                  <c:v>Cycle gap </c:v>
                </c:pt>
                <c:pt idx="24">
                  <c:v>Dairy milk</c:v>
                </c:pt>
                <c:pt idx="25">
                  <c:v>Dinner</c:v>
                </c:pt>
                <c:pt idx="26">
                  <c:v>Dinner with aravind</c:v>
                </c:pt>
                <c:pt idx="27">
                  <c:v>Dinner with aravind and buddies</c:v>
                </c:pt>
                <c:pt idx="28">
                  <c:v>Dinner with barath</c:v>
                </c:pt>
                <c:pt idx="29">
                  <c:v>Dinner with gowdham</c:v>
                </c:pt>
                <c:pt idx="30">
                  <c:v>Dinner with roommate</c:v>
                </c:pt>
                <c:pt idx="31">
                  <c:v>Earphone</c:v>
                </c:pt>
                <c:pt idx="32">
                  <c:v>Egg</c:v>
                </c:pt>
                <c:pt idx="33">
                  <c:v>Eggs</c:v>
                </c:pt>
                <c:pt idx="34">
                  <c:v>Eve snack</c:v>
                </c:pt>
                <c:pt idx="35">
                  <c:v>Friday snacks with preethi gang</c:v>
                </c:pt>
                <c:pt idx="36">
                  <c:v>Games </c:v>
                </c:pt>
                <c:pt idx="37">
                  <c:v>Gave to gowdham</c:v>
                </c:pt>
                <c:pt idx="38">
                  <c:v>Good soup</c:v>
                </c:pt>
                <c:pt idx="39">
                  <c:v>Hoodie for gobi</c:v>
                </c:pt>
                <c:pt idx="40">
                  <c:v>Horlicks + kolakattai</c:v>
                </c:pt>
                <c:pt idx="41">
                  <c:v>It better be worth it</c:v>
                </c:pt>
                <c:pt idx="42">
                  <c:v>Jan 2nd with shakur and barath</c:v>
                </c:pt>
                <c:pt idx="43">
                  <c:v>Ketch up</c:v>
                </c:pt>
                <c:pt idx="44">
                  <c:v>Kfc </c:v>
                </c:pt>
                <c:pt idx="45">
                  <c:v>Kfc date with myself</c:v>
                </c:pt>
                <c:pt idx="46">
                  <c:v>Kfc dinner</c:v>
                </c:pt>
                <c:pt idx="47">
                  <c:v>Lemon tea</c:v>
                </c:pt>
                <c:pt idx="48">
                  <c:v>Lemon tea with company</c:v>
                </c:pt>
                <c:pt idx="49">
                  <c:v>Lended money returned to kumara</c:v>
                </c:pt>
                <c:pt idx="50">
                  <c:v>Lended money returned to vishnu</c:v>
                </c:pt>
                <c:pt idx="51">
                  <c:v>Lunch</c:v>
                </c:pt>
                <c:pt idx="52">
                  <c:v>Lunch + chocolate for preethi</c:v>
                </c:pt>
                <c:pt idx="53">
                  <c:v>Lunch pongal</c:v>
                </c:pt>
                <c:pt idx="54">
                  <c:v>Lunch unlimited nv</c:v>
                </c:pt>
                <c:pt idx="55">
                  <c:v>Lunch with barath</c:v>
                </c:pt>
                <c:pt idx="56">
                  <c:v>Lunch with company</c:v>
                </c:pt>
                <c:pt idx="57">
                  <c:v>Lunch with gowdham</c:v>
                </c:pt>
                <c:pt idx="58">
                  <c:v>Lunch with not preethi</c:v>
                </c:pt>
                <c:pt idx="59">
                  <c:v>Metro</c:v>
                </c:pt>
                <c:pt idx="60">
                  <c:v>Milk with bharath</c:v>
                </c:pt>
                <c:pt idx="61">
                  <c:v>Mirror</c:v>
                </c:pt>
                <c:pt idx="62">
                  <c:v>Paani poori</c:v>
                </c:pt>
                <c:pt idx="63">
                  <c:v>Panipoori</c:v>
                </c:pt>
                <c:pt idx="64">
                  <c:v>Parotta</c:v>
                </c:pt>
                <c:pt idx="65">
                  <c:v>Pepsi</c:v>
                </c:pt>
                <c:pt idx="66">
                  <c:v>Pg to office</c:v>
                </c:pt>
                <c:pt idx="67">
                  <c:v>Pizza</c:v>
                </c:pt>
                <c:pt idx="68">
                  <c:v>Puffs</c:v>
                </c:pt>
                <c:pt idx="69">
                  <c:v>Puffs and coffee</c:v>
                </c:pt>
                <c:pt idx="70">
                  <c:v>Ramen with gobi</c:v>
                </c:pt>
                <c:pt idx="71">
                  <c:v>Random stuff for drinks</c:v>
                </c:pt>
                <c:pt idx="72">
                  <c:v>Rapido</c:v>
                </c:pt>
                <c:pt idx="73">
                  <c:v>Rapido + toll</c:v>
                </c:pt>
                <c:pt idx="74">
                  <c:v>Rapido to pg</c:v>
                </c:pt>
                <c:pt idx="75">
                  <c:v>Recharge by gowdham</c:v>
                </c:pt>
                <c:pt idx="76">
                  <c:v>Refund for bus ticket</c:v>
                </c:pt>
                <c:pt idx="77">
                  <c:v>Rent</c:v>
                </c:pt>
                <c:pt idx="78">
                  <c:v>Sent to barath</c:v>
                </c:pt>
                <c:pt idx="79">
                  <c:v>Sent to preethi</c:v>
                </c:pt>
                <c:pt idx="80">
                  <c:v>Sent to vicky</c:v>
                </c:pt>
                <c:pt idx="81">
                  <c:v>Shawarma</c:v>
                </c:pt>
                <c:pt idx="82">
                  <c:v>Side dishes</c:v>
                </c:pt>
                <c:pt idx="83">
                  <c:v>Snack</c:v>
                </c:pt>
                <c:pt idx="84">
                  <c:v>Snack with preethi</c:v>
                </c:pt>
                <c:pt idx="85">
                  <c:v>Snacks</c:v>
                </c:pt>
                <c:pt idx="86">
                  <c:v>Snacks with preethi and azar</c:v>
                </c:pt>
                <c:pt idx="87">
                  <c:v>Spiderman </c:v>
                </c:pt>
                <c:pt idx="88">
                  <c:v>Stuffs</c:v>
                </c:pt>
                <c:pt idx="89">
                  <c:v>Tablet to gowdham</c:v>
                </c:pt>
                <c:pt idx="90">
                  <c:v>Tamen</c:v>
                </c:pt>
                <c:pt idx="91">
                  <c:v>Taxi</c:v>
                </c:pt>
                <c:pt idx="92">
                  <c:v>Tea lights</c:v>
                </c:pt>
                <c:pt idx="93">
                  <c:v>To abijith</c:v>
                </c:pt>
                <c:pt idx="94">
                  <c:v>To abijith and to vicky lend money returned</c:v>
                </c:pt>
                <c:pt idx="95">
                  <c:v>To auto anna</c:v>
                </c:pt>
                <c:pt idx="96">
                  <c:v>To barath</c:v>
                </c:pt>
                <c:pt idx="97">
                  <c:v>To chennai</c:v>
                </c:pt>
                <c:pt idx="98">
                  <c:v>To egmore</c:v>
                </c:pt>
                <c:pt idx="99">
                  <c:v>To gobi</c:v>
                </c:pt>
                <c:pt idx="100">
                  <c:v>To gobi 1st 1/4th</c:v>
                </c:pt>
                <c:pt idx="101">
                  <c:v>To gowdham</c:v>
                </c:pt>
                <c:pt idx="102">
                  <c:v>To karthi</c:v>
                </c:pt>
                <c:pt idx="103">
                  <c:v>To ksr station</c:v>
                </c:pt>
                <c:pt idx="104">
                  <c:v>To kumara</c:v>
                </c:pt>
                <c:pt idx="105">
                  <c:v>To lended people</c:v>
                </c:pt>
                <c:pt idx="106">
                  <c:v>To rahul</c:v>
                </c:pt>
                <c:pt idx="107">
                  <c:v>To siva</c:v>
                </c:pt>
                <c:pt idx="108">
                  <c:v>To vicky</c:v>
                </c:pt>
                <c:pt idx="109">
                  <c:v>To vishnu</c:v>
                </c:pt>
                <c:pt idx="110">
                  <c:v>Took from sbi</c:v>
                </c:pt>
                <c:pt idx="111">
                  <c:v>Train cbe to chn</c:v>
                </c:pt>
                <c:pt idx="112">
                  <c:v>Train to vnr</c:v>
                </c:pt>
                <c:pt idx="113">
                  <c:v>Travel to koyambedu</c:v>
                </c:pt>
                <c:pt idx="114">
                  <c:v>Vnr to apk</c:v>
                </c:pt>
                <c:pt idx="115">
                  <c:v>Water</c:v>
                </c:pt>
                <c:pt idx="116">
                  <c:v>Zinger box meal</c:v>
                </c:pt>
                <c:pt idx="117">
                  <c:v>Zomato</c:v>
                </c:pt>
              </c:strCache>
            </c:strRef>
          </c:cat>
          <c:val>
            <c:numRef>
              <c:f>Sheet2!$N$24:$N$142</c:f>
              <c:numCache>
                <c:formatCode>General</c:formatCode>
                <c:ptCount val="118"/>
                <c:pt idx="0">
                  <c:v>14000</c:v>
                </c:pt>
                <c:pt idx="1">
                  <c:v>214</c:v>
                </c:pt>
                <c:pt idx="2">
                  <c:v>200</c:v>
                </c:pt>
                <c:pt idx="3">
                  <c:v>10</c:v>
                </c:pt>
                <c:pt idx="4">
                  <c:v>8297</c:v>
                </c:pt>
                <c:pt idx="5">
                  <c:v>1500</c:v>
                </c:pt>
                <c:pt idx="6">
                  <c:v>115</c:v>
                </c:pt>
                <c:pt idx="7">
                  <c:v>10</c:v>
                </c:pt>
                <c:pt idx="8">
                  <c:v>199</c:v>
                </c:pt>
                <c:pt idx="9">
                  <c:v>400</c:v>
                </c:pt>
                <c:pt idx="10">
                  <c:v>110</c:v>
                </c:pt>
                <c:pt idx="11">
                  <c:v>50</c:v>
                </c:pt>
                <c:pt idx="12">
                  <c:v>105</c:v>
                </c:pt>
                <c:pt idx="13">
                  <c:v>18</c:v>
                </c:pt>
                <c:pt idx="14">
                  <c:v>1575</c:v>
                </c:pt>
                <c:pt idx="15">
                  <c:v>1365</c:v>
                </c:pt>
                <c:pt idx="16">
                  <c:v>306</c:v>
                </c:pt>
                <c:pt idx="17">
                  <c:v>125</c:v>
                </c:pt>
                <c:pt idx="18">
                  <c:v>50</c:v>
                </c:pt>
                <c:pt idx="19">
                  <c:v>1599</c:v>
                </c:pt>
                <c:pt idx="20">
                  <c:v>14</c:v>
                </c:pt>
                <c:pt idx="21">
                  <c:v>300</c:v>
                </c:pt>
                <c:pt idx="22">
                  <c:v>289</c:v>
                </c:pt>
                <c:pt idx="23">
                  <c:v>120</c:v>
                </c:pt>
                <c:pt idx="24">
                  <c:v>10</c:v>
                </c:pt>
                <c:pt idx="25">
                  <c:v>1115.1500000000001</c:v>
                </c:pt>
                <c:pt idx="26">
                  <c:v>373</c:v>
                </c:pt>
                <c:pt idx="27">
                  <c:v>491</c:v>
                </c:pt>
                <c:pt idx="28">
                  <c:v>943</c:v>
                </c:pt>
                <c:pt idx="29">
                  <c:v>250</c:v>
                </c:pt>
                <c:pt idx="30">
                  <c:v>877.81</c:v>
                </c:pt>
                <c:pt idx="31">
                  <c:v>3997</c:v>
                </c:pt>
                <c:pt idx="32">
                  <c:v>300</c:v>
                </c:pt>
                <c:pt idx="33">
                  <c:v>83</c:v>
                </c:pt>
                <c:pt idx="34">
                  <c:v>1100</c:v>
                </c:pt>
                <c:pt idx="35">
                  <c:v>106</c:v>
                </c:pt>
                <c:pt idx="36">
                  <c:v>100</c:v>
                </c:pt>
                <c:pt idx="37">
                  <c:v>50</c:v>
                </c:pt>
                <c:pt idx="38">
                  <c:v>50</c:v>
                </c:pt>
                <c:pt idx="39">
                  <c:v>3999</c:v>
                </c:pt>
                <c:pt idx="40">
                  <c:v>25</c:v>
                </c:pt>
                <c:pt idx="41">
                  <c:v>1300</c:v>
                </c:pt>
                <c:pt idx="42">
                  <c:v>354</c:v>
                </c:pt>
                <c:pt idx="43">
                  <c:v>200</c:v>
                </c:pt>
                <c:pt idx="44">
                  <c:v>475</c:v>
                </c:pt>
                <c:pt idx="45">
                  <c:v>259</c:v>
                </c:pt>
                <c:pt idx="46">
                  <c:v>989</c:v>
                </c:pt>
                <c:pt idx="47">
                  <c:v>18</c:v>
                </c:pt>
                <c:pt idx="48">
                  <c:v>15</c:v>
                </c:pt>
                <c:pt idx="49">
                  <c:v>30</c:v>
                </c:pt>
                <c:pt idx="50">
                  <c:v>40</c:v>
                </c:pt>
                <c:pt idx="51">
                  <c:v>1495</c:v>
                </c:pt>
                <c:pt idx="52">
                  <c:v>171</c:v>
                </c:pt>
                <c:pt idx="53">
                  <c:v>1530</c:v>
                </c:pt>
                <c:pt idx="54">
                  <c:v>300</c:v>
                </c:pt>
                <c:pt idx="55">
                  <c:v>200</c:v>
                </c:pt>
                <c:pt idx="56">
                  <c:v>3101</c:v>
                </c:pt>
                <c:pt idx="57">
                  <c:v>535.29999999999995</c:v>
                </c:pt>
                <c:pt idx="58">
                  <c:v>135.5</c:v>
                </c:pt>
                <c:pt idx="59">
                  <c:v>90</c:v>
                </c:pt>
                <c:pt idx="60">
                  <c:v>1060</c:v>
                </c:pt>
                <c:pt idx="61">
                  <c:v>7770</c:v>
                </c:pt>
                <c:pt idx="62">
                  <c:v>25</c:v>
                </c:pt>
                <c:pt idx="63">
                  <c:v>140</c:v>
                </c:pt>
                <c:pt idx="64">
                  <c:v>120</c:v>
                </c:pt>
                <c:pt idx="65">
                  <c:v>40</c:v>
                </c:pt>
                <c:pt idx="66">
                  <c:v>43</c:v>
                </c:pt>
                <c:pt idx="67">
                  <c:v>640.9</c:v>
                </c:pt>
                <c:pt idx="68">
                  <c:v>25</c:v>
                </c:pt>
                <c:pt idx="69">
                  <c:v>32</c:v>
                </c:pt>
                <c:pt idx="70">
                  <c:v>380</c:v>
                </c:pt>
                <c:pt idx="71">
                  <c:v>111</c:v>
                </c:pt>
                <c:pt idx="72">
                  <c:v>35</c:v>
                </c:pt>
                <c:pt idx="73">
                  <c:v>286</c:v>
                </c:pt>
                <c:pt idx="74">
                  <c:v>559</c:v>
                </c:pt>
                <c:pt idx="75">
                  <c:v>479</c:v>
                </c:pt>
                <c:pt idx="76">
                  <c:v>600</c:v>
                </c:pt>
                <c:pt idx="77">
                  <c:v>4580</c:v>
                </c:pt>
                <c:pt idx="78">
                  <c:v>100</c:v>
                </c:pt>
                <c:pt idx="79">
                  <c:v>107</c:v>
                </c:pt>
                <c:pt idx="80">
                  <c:v>300</c:v>
                </c:pt>
                <c:pt idx="81">
                  <c:v>80</c:v>
                </c:pt>
                <c:pt idx="82">
                  <c:v>165</c:v>
                </c:pt>
                <c:pt idx="83">
                  <c:v>94</c:v>
                </c:pt>
                <c:pt idx="84">
                  <c:v>59</c:v>
                </c:pt>
                <c:pt idx="85">
                  <c:v>1441</c:v>
                </c:pt>
                <c:pt idx="86">
                  <c:v>176</c:v>
                </c:pt>
                <c:pt idx="87">
                  <c:v>1363.72</c:v>
                </c:pt>
                <c:pt idx="88">
                  <c:v>34163</c:v>
                </c:pt>
                <c:pt idx="89">
                  <c:v>8</c:v>
                </c:pt>
                <c:pt idx="90">
                  <c:v>324.7</c:v>
                </c:pt>
                <c:pt idx="91">
                  <c:v>800</c:v>
                </c:pt>
                <c:pt idx="92">
                  <c:v>84</c:v>
                </c:pt>
                <c:pt idx="93">
                  <c:v>200</c:v>
                </c:pt>
                <c:pt idx="94">
                  <c:v>500</c:v>
                </c:pt>
                <c:pt idx="95">
                  <c:v>50</c:v>
                </c:pt>
                <c:pt idx="96">
                  <c:v>20</c:v>
                </c:pt>
                <c:pt idx="97">
                  <c:v>1000</c:v>
                </c:pt>
                <c:pt idx="98">
                  <c:v>2709</c:v>
                </c:pt>
                <c:pt idx="99">
                  <c:v>4500</c:v>
                </c:pt>
                <c:pt idx="100">
                  <c:v>500</c:v>
                </c:pt>
                <c:pt idx="101">
                  <c:v>150</c:v>
                </c:pt>
                <c:pt idx="102">
                  <c:v>100</c:v>
                </c:pt>
                <c:pt idx="103">
                  <c:v>153</c:v>
                </c:pt>
                <c:pt idx="104">
                  <c:v>10350</c:v>
                </c:pt>
                <c:pt idx="105">
                  <c:v>300</c:v>
                </c:pt>
                <c:pt idx="106">
                  <c:v>113</c:v>
                </c:pt>
                <c:pt idx="107">
                  <c:v>10000</c:v>
                </c:pt>
                <c:pt idx="108">
                  <c:v>580</c:v>
                </c:pt>
                <c:pt idx="109">
                  <c:v>1100</c:v>
                </c:pt>
                <c:pt idx="110">
                  <c:v>200</c:v>
                </c:pt>
                <c:pt idx="111">
                  <c:v>201.8</c:v>
                </c:pt>
                <c:pt idx="112">
                  <c:v>4050</c:v>
                </c:pt>
                <c:pt idx="113">
                  <c:v>138</c:v>
                </c:pt>
                <c:pt idx="114">
                  <c:v>50</c:v>
                </c:pt>
                <c:pt idx="115">
                  <c:v>70</c:v>
                </c:pt>
                <c:pt idx="116">
                  <c:v>279</c:v>
                </c:pt>
                <c:pt idx="117">
                  <c:v>269.39999999999998</c:v>
                </c:pt>
              </c:numCache>
            </c:numRef>
          </c:val>
          <c:extLst>
            <c:ext xmlns:c16="http://schemas.microsoft.com/office/drawing/2014/chart" uri="{C3380CC4-5D6E-409C-BE32-E72D297353CC}">
              <c16:uniqueId val="{00000000-7CFB-401A-A922-109799ED72A4}"/>
            </c:ext>
          </c:extLst>
        </c:ser>
        <c:dLbls>
          <c:showLegendKey val="0"/>
          <c:showVal val="0"/>
          <c:showCatName val="0"/>
          <c:showSerName val="0"/>
          <c:showPercent val="0"/>
          <c:showBubbleSize val="0"/>
        </c:dLbls>
        <c:gapWidth val="355"/>
        <c:overlap val="-70"/>
        <c:axId val="441314351"/>
        <c:axId val="441314831"/>
      </c:barChart>
      <c:catAx>
        <c:axId val="44131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14831"/>
        <c:crosses val="autoZero"/>
        <c:auto val="1"/>
        <c:lblAlgn val="ctr"/>
        <c:lblOffset val="100"/>
        <c:noMultiLvlLbl val="0"/>
      </c:catAx>
      <c:valAx>
        <c:axId val="441314831"/>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1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Analysis.xlsx]Sheet2!PivotTable5</c:name>
    <c:fmtId val="17"/>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WHERE</a:t>
            </a:r>
            <a:r>
              <a:rPr lang="en-US" sz="1800" b="1" baseline="0">
                <a:solidFill>
                  <a:schemeClr val="bg1"/>
                </a:solidFill>
              </a:rPr>
              <a:t> MONEY CAME FROM</a:t>
            </a:r>
            <a:endParaRPr lang="en-US" sz="1800" b="1">
              <a:solidFill>
                <a:schemeClr val="bg1"/>
              </a:solidFill>
            </a:endParaRPr>
          </a:p>
        </c:rich>
      </c:tx>
      <c:layout>
        <c:manualLayout>
          <c:xMode val="edge"/>
          <c:yMode val="edge"/>
          <c:x val="6.7520778652668423E-2"/>
          <c:y val="0.22481044036162146"/>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Sheet2!$L$44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CD-4CA5-AC84-B200B24059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CD-4CA5-AC84-B200B24059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CD-4CA5-AC84-B200B24059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CD-4CA5-AC84-B200B24059A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BCD-4CA5-AC84-B200B24059A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BCD-4CA5-AC84-B200B24059A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A2F-4702-8E69-71AB7BDA4AA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A2F-4702-8E69-71AB7BDA4AAF}"/>
              </c:ext>
            </c:extLst>
          </c:dPt>
          <c:cat>
            <c:strRef>
              <c:f>Sheet2!$K$45:$K$53</c:f>
              <c:strCache>
                <c:ptCount val="8"/>
                <c:pt idx="0">
                  <c:v>Allowance</c:v>
                </c:pt>
                <c:pt idx="1">
                  <c:v>Apparel</c:v>
                </c:pt>
                <c:pt idx="2">
                  <c:v>Education</c:v>
                </c:pt>
                <c:pt idx="3">
                  <c:v>Food</c:v>
                </c:pt>
                <c:pt idx="4">
                  <c:v>Household</c:v>
                </c:pt>
                <c:pt idx="5">
                  <c:v>Other</c:v>
                </c:pt>
                <c:pt idx="6">
                  <c:v>Salary</c:v>
                </c:pt>
                <c:pt idx="7">
                  <c:v>Transportation</c:v>
                </c:pt>
              </c:strCache>
            </c:strRef>
          </c:cat>
          <c:val>
            <c:numRef>
              <c:f>Sheet2!$L$45:$L$53</c:f>
              <c:numCache>
                <c:formatCode>General</c:formatCode>
                <c:ptCount val="8"/>
                <c:pt idx="0">
                  <c:v>13000</c:v>
                </c:pt>
                <c:pt idx="1">
                  <c:v>0</c:v>
                </c:pt>
                <c:pt idx="2">
                  <c:v>0</c:v>
                </c:pt>
                <c:pt idx="3">
                  <c:v>0</c:v>
                </c:pt>
                <c:pt idx="4">
                  <c:v>0</c:v>
                </c:pt>
                <c:pt idx="5">
                  <c:v>24237</c:v>
                </c:pt>
                <c:pt idx="6">
                  <c:v>660910</c:v>
                </c:pt>
                <c:pt idx="7">
                  <c:v>0</c:v>
                </c:pt>
              </c:numCache>
            </c:numRef>
          </c:val>
          <c:extLst>
            <c:ext xmlns:c16="http://schemas.microsoft.com/office/drawing/2014/chart" uri="{C3380CC4-5D6E-409C-BE32-E72D297353CC}">
              <c16:uniqueId val="{0000000C-6BCD-4CA5-AC84-B200B24059A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
          <c:y val="0.10662037037037039"/>
          <c:w val="0.33333333333333331"/>
          <c:h val="0.841710775736366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390525</xdr:colOff>
      <xdr:row>3</xdr:row>
      <xdr:rowOff>4762</xdr:rowOff>
    </xdr:from>
    <xdr:to>
      <xdr:col>8</xdr:col>
      <xdr:colOff>85725</xdr:colOff>
      <xdr:row>17</xdr:row>
      <xdr:rowOff>80962</xdr:rowOff>
    </xdr:to>
    <xdr:graphicFrame macro="">
      <xdr:nvGraphicFramePr>
        <xdr:cNvPr id="2" name="Chart 1">
          <a:extLst>
            <a:ext uri="{FF2B5EF4-FFF2-40B4-BE49-F238E27FC236}">
              <a16:creationId xmlns:a16="http://schemas.microsoft.com/office/drawing/2014/main" id="{8D5E3B54-826E-26FB-3540-FFEF95FE0D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238125</xdr:colOff>
      <xdr:row>22</xdr:row>
      <xdr:rowOff>147637</xdr:rowOff>
    </xdr:from>
    <xdr:to>
      <xdr:col>8</xdr:col>
      <xdr:colOff>257175</xdr:colOff>
      <xdr:row>37</xdr:row>
      <xdr:rowOff>33337</xdr:rowOff>
    </xdr:to>
    <xdr:graphicFrame macro="">
      <xdr:nvGraphicFramePr>
        <xdr:cNvPr id="3" name="Chart 2">
          <a:extLst>
            <a:ext uri="{FF2B5EF4-FFF2-40B4-BE49-F238E27FC236}">
              <a16:creationId xmlns:a16="http://schemas.microsoft.com/office/drawing/2014/main" id="{9892209A-6AE9-AC6B-7DBB-CF6C1C4DD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123825</xdr:colOff>
      <xdr:row>3</xdr:row>
      <xdr:rowOff>4762</xdr:rowOff>
    </xdr:from>
    <xdr:to>
      <xdr:col>16</xdr:col>
      <xdr:colOff>361950</xdr:colOff>
      <xdr:row>17</xdr:row>
      <xdr:rowOff>80962</xdr:rowOff>
    </xdr:to>
    <xdr:graphicFrame macro="">
      <xdr:nvGraphicFramePr>
        <xdr:cNvPr id="4" name="Chart 3">
          <a:extLst>
            <a:ext uri="{FF2B5EF4-FFF2-40B4-BE49-F238E27FC236}">
              <a16:creationId xmlns:a16="http://schemas.microsoft.com/office/drawing/2014/main" id="{A5341E23-03D2-5278-DF2E-930A8D4ADD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438150</xdr:colOff>
      <xdr:row>38</xdr:row>
      <xdr:rowOff>61912</xdr:rowOff>
    </xdr:from>
    <xdr:to>
      <xdr:col>9</xdr:col>
      <xdr:colOff>1143000</xdr:colOff>
      <xdr:row>52</xdr:row>
      <xdr:rowOff>138112</xdr:rowOff>
    </xdr:to>
    <xdr:graphicFrame macro="">
      <xdr:nvGraphicFramePr>
        <xdr:cNvPr id="5" name="Chart 4">
          <a:extLst>
            <a:ext uri="{FF2B5EF4-FFF2-40B4-BE49-F238E27FC236}">
              <a16:creationId xmlns:a16="http://schemas.microsoft.com/office/drawing/2014/main" id="{16C4DDD7-8BFB-78F7-DCEC-A5870F01D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433917</xdr:colOff>
      <xdr:row>4</xdr:row>
      <xdr:rowOff>104775</xdr:rowOff>
    </xdr:from>
    <xdr:to>
      <xdr:col>11</xdr:col>
      <xdr:colOff>104775</xdr:colOff>
      <xdr:row>19</xdr:row>
      <xdr:rowOff>74083</xdr:rowOff>
    </xdr:to>
    <xdr:graphicFrame macro="">
      <xdr:nvGraphicFramePr>
        <xdr:cNvPr id="2" name="Chart 1">
          <a:extLst>
            <a:ext uri="{FF2B5EF4-FFF2-40B4-BE49-F238E27FC236}">
              <a16:creationId xmlns:a16="http://schemas.microsoft.com/office/drawing/2014/main" id="{B9712A28-81EB-4900-AC84-2BD9BA24F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428625</xdr:colOff>
      <xdr:row>21</xdr:row>
      <xdr:rowOff>127000</xdr:rowOff>
    </xdr:from>
    <xdr:to>
      <xdr:col>11</xdr:col>
      <xdr:colOff>84666</xdr:colOff>
      <xdr:row>36</xdr:row>
      <xdr:rowOff>9525</xdr:rowOff>
    </xdr:to>
    <xdr:graphicFrame macro="">
      <xdr:nvGraphicFramePr>
        <xdr:cNvPr id="3" name="Chart 2">
          <a:extLst>
            <a:ext uri="{FF2B5EF4-FFF2-40B4-BE49-F238E27FC236}">
              <a16:creationId xmlns:a16="http://schemas.microsoft.com/office/drawing/2014/main" id="{A0DC4499-E17C-4C03-8EE8-C9776B822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4</xdr:row>
      <xdr:rowOff>100541</xdr:rowOff>
    </xdr:from>
    <xdr:to>
      <xdr:col>28</xdr:col>
      <xdr:colOff>158750</xdr:colOff>
      <xdr:row>19</xdr:row>
      <xdr:rowOff>52917</xdr:rowOff>
    </xdr:to>
    <xdr:graphicFrame macro="">
      <xdr:nvGraphicFramePr>
        <xdr:cNvPr id="4" name="Chart 3">
          <a:extLst>
            <a:ext uri="{FF2B5EF4-FFF2-40B4-BE49-F238E27FC236}">
              <a16:creationId xmlns:a16="http://schemas.microsoft.com/office/drawing/2014/main" id="{CA7304DF-D198-46B7-8840-E435ADF93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603250</xdr:colOff>
      <xdr:row>21</xdr:row>
      <xdr:rowOff>137583</xdr:rowOff>
    </xdr:from>
    <xdr:to>
      <xdr:col>28</xdr:col>
      <xdr:colOff>158750</xdr:colOff>
      <xdr:row>36</xdr:row>
      <xdr:rowOff>158750</xdr:rowOff>
    </xdr:to>
    <xdr:graphicFrame macro="">
      <xdr:nvGraphicFramePr>
        <xdr:cNvPr id="13" name="Chart 12">
          <a:extLst>
            <a:ext uri="{FF2B5EF4-FFF2-40B4-BE49-F238E27FC236}">
              <a16:creationId xmlns:a16="http://schemas.microsoft.com/office/drawing/2014/main" id="{BE6F5F71-7211-4FA9-8320-78CA8F5E0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347134</xdr:colOff>
      <xdr:row>4</xdr:row>
      <xdr:rowOff>149225</xdr:rowOff>
    </xdr:from>
    <xdr:to>
      <xdr:col>13</xdr:col>
      <xdr:colOff>560918</xdr:colOff>
      <xdr:row>26</xdr:row>
      <xdr:rowOff>63500</xdr:rowOff>
    </xdr:to>
    <mc:AlternateContent xmlns:mc="http://schemas.openxmlformats.org/markup-compatibility/2006" xmlns:a14="http://schemas.microsoft.com/office/drawing/2010/main">
      <mc:Choice Requires="a14">
        <xdr:graphicFrame macro="">
          <xdr:nvGraphicFramePr>
            <xdr:cNvPr id="14" name="Months (Date / Time)">
              <a:extLst>
                <a:ext uri="{FF2B5EF4-FFF2-40B4-BE49-F238E27FC236}">
                  <a16:creationId xmlns:a16="http://schemas.microsoft.com/office/drawing/2014/main" id="{52CC2915-B58B-F1C9-43A2-8C5B350600D2}"/>
                </a:ext>
              </a:extLst>
            </xdr:cNvPr>
            <xdr:cNvGraphicFramePr/>
          </xdr:nvGraphicFramePr>
          <xdr:xfrm>
            <a:off x="0" y="0"/>
            <a:ext cx="0" cy="0"/>
          </xdr:xfrm>
          <a:graphic>
            <a:graphicData uri="http://schemas.microsoft.com/office/drawing/2010/slicer">
              <sle:slicer xmlns:sle="http://schemas.microsoft.com/office/drawing/2010/slicer" name="Months (Date / Time)"/>
            </a:graphicData>
          </a:graphic>
        </xdr:graphicFrame>
      </mc:Choice>
      <mc:Fallback xmlns="">
        <xdr:sp macro="" textlink="">
          <xdr:nvSpPr>
            <xdr:cNvPr id="0" name=""/>
            <xdr:cNvSpPr>
              <a:spLocks noTextEdit="1"/>
            </xdr:cNvSpPr>
          </xdr:nvSpPr>
          <xdr:spPr>
            <a:xfrm>
              <a:off x="7099301" y="1535642"/>
              <a:ext cx="1441450" cy="4179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33867</xdr:colOff>
      <xdr:row>4</xdr:row>
      <xdr:rowOff>152400</xdr:rowOff>
    </xdr:from>
    <xdr:to>
      <xdr:col>16</xdr:col>
      <xdr:colOff>359834</xdr:colOff>
      <xdr:row>26</xdr:row>
      <xdr:rowOff>74082</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34793EF8-526C-4A27-5C40-D927A40CEE7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617315" y="1586624"/>
              <a:ext cx="1552174" cy="409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ren Samuel" refreshedDate="46134.516989004631" createdVersion="8" refreshedVersion="8" minRefreshableVersion="3" recordCount="225" xr:uid="{C27C90F3-87C8-4B6A-A50C-13A521FD421F}">
  <cacheSource type="worksheet">
    <worksheetSource ref="A1:F226" sheet="Sheet1"/>
  </cacheSource>
  <cacheFields count="8">
    <cacheField name="Date / Time" numFmtId="164">
      <sharedItems containsSemiMixedTypes="0" containsNonDate="0" containsDate="1" containsString="0" minDate="2021-01-01T21:45:00" maxDate="2021-12-30T14:10:00" count="212">
        <d v="2021-01-01T21:45:00"/>
        <d v="2021-01-01T21:46:00"/>
        <d v="2021-01-03T18:21:00"/>
        <d v="2021-01-03T18:22:00"/>
        <d v="2021-01-03T18:56:00"/>
        <d v="2021-01-03T19:50:00"/>
        <d v="2021-01-12T14:00:00"/>
        <d v="2021-01-13T17:47:00"/>
        <d v="2021-01-13T20:46:00"/>
        <d v="2021-01-14T16:56:00"/>
        <d v="2021-01-15T21:16:00"/>
        <d v="2021-01-17T18:31:00"/>
        <d v="2021-01-18T13:51:00"/>
        <d v="2021-01-18T17:10:00"/>
        <d v="2021-01-18T20:54:00"/>
        <d v="2021-01-19T14:27:00"/>
        <d v="2021-01-21T11:47:00"/>
        <d v="2021-01-21T14:22:00"/>
        <d v="2021-01-23T21:27:00"/>
        <d v="2021-01-23T21:29:00"/>
        <d v="2021-01-25T10:23:00"/>
        <d v="2021-01-26T16:52:00"/>
        <d v="2021-01-26T17:45:00"/>
        <d v="2021-01-27T13:38:00"/>
        <d v="2021-01-27T13:39:00"/>
        <d v="2021-01-27T13:41:00"/>
        <d v="2021-01-28T14:23:00"/>
        <d v="2021-01-28T21:58:00"/>
        <d v="2021-01-29T14:44:00"/>
        <d v="2021-01-30T12:28:00"/>
        <d v="2021-01-30T19:01:00"/>
        <d v="2021-01-30T19:17:00"/>
        <d v="2021-01-31T08:27:00"/>
        <d v="2021-02-01T14:16:00"/>
        <d v="2021-02-01T20:32:00"/>
        <d v="2021-02-01T20:33:00"/>
        <d v="2021-02-02T20:15:00"/>
        <d v="2021-02-03T10:11:00"/>
        <d v="2021-02-13T21:54:00"/>
        <d v="2021-02-16T16:57:00"/>
        <d v="2021-02-17T13:11:00"/>
        <d v="2021-02-18T23:01:00"/>
        <d v="2021-02-19T06:18:00"/>
        <d v="2021-02-19T06:27:00"/>
        <d v="2021-02-19T08:26:00"/>
        <d v="2021-02-19T21:35:00"/>
        <d v="2021-02-19T21:57:00"/>
        <d v="2021-02-19T23:03:00"/>
        <d v="2021-02-20T15:24:00"/>
        <d v="2021-02-21T15:38:00"/>
        <d v="2021-02-21T15:40:00"/>
        <d v="2021-02-21T22:15:00"/>
        <d v="2021-02-23T16:06:00"/>
        <d v="2021-02-23T17:35:00"/>
        <d v="2021-02-24T22:21:00"/>
        <d v="2021-02-26T01:39:00"/>
        <d v="2021-02-26T17:37:00"/>
        <d v="2021-02-27T15:29:00"/>
        <d v="2021-02-28T11:45:00"/>
        <d v="2021-02-28T11:56:00"/>
        <d v="2021-03-01T14:30:00"/>
        <d v="2021-03-01T14:31:00"/>
        <d v="2021-03-01T21:11:00"/>
        <d v="2021-03-01T21:54:00"/>
        <d v="2021-03-01T22:15:00"/>
        <d v="2021-03-02T08:59:00"/>
        <d v="2021-03-02T14:53:00"/>
        <d v="2021-03-15T21:17:00"/>
        <d v="2021-03-21T21:12:00"/>
        <d v="2021-03-22T06:33:00"/>
        <d v="2021-03-23T12:38:00"/>
        <d v="2021-03-31T08:26:00"/>
        <d v="2021-04-01T07:58:00"/>
        <d v="2021-04-01T08:01:00"/>
        <d v="2021-04-01T13:53:00"/>
        <d v="2021-04-01T22:11:00"/>
        <d v="2021-04-03T10:11:00"/>
        <d v="2021-04-19T20:45:00"/>
        <d v="2021-04-21T22:10:00"/>
        <d v="2021-04-22T06:33:00"/>
        <d v="2021-04-22T20:28:00"/>
        <d v="2021-04-25T20:46:00"/>
        <d v="2021-05-01T14:30:00"/>
        <d v="2021-05-01T14:35:00"/>
        <d v="2021-05-01T14:37:00"/>
        <d v="2021-05-01T14:39:00"/>
        <d v="2021-05-01T14:42:00"/>
        <d v="2021-05-01T14:46:00"/>
        <d v="2021-05-18T19:51:00"/>
        <d v="2021-05-21T20:23:00"/>
        <d v="2021-05-22T06:33:00"/>
        <d v="2021-05-31T08:44:00"/>
        <d v="2021-06-01T11:48:00"/>
        <d v="2021-06-01T14:22:00"/>
        <d v="2021-06-01T20:13:00"/>
        <d v="2021-06-01T20:58:00"/>
        <d v="2021-06-01T21:30:00"/>
        <d v="2021-06-02T16:40:00"/>
        <d v="2021-06-02T17:52:00"/>
        <d v="2021-06-02T17:53:00"/>
        <d v="2021-06-02T18:32:00"/>
        <d v="2021-06-02T21:20:00"/>
        <d v="2021-06-14T15:18:00"/>
        <d v="2021-06-22T06:33:00"/>
        <d v="2021-06-22T16:41:00"/>
        <d v="2021-07-01T13:51:00"/>
        <d v="2021-07-02T07:08:00"/>
        <d v="2021-07-18T12:59:00"/>
        <d v="2021-07-22T06:33:00"/>
        <d v="2021-07-23T21:29:00"/>
        <d v="2021-07-24T21:49:00"/>
        <d v="2021-07-25T13:35:00"/>
        <d v="2021-07-26T17:37:00"/>
        <d v="2021-07-27T13:38:00"/>
        <d v="2021-08-01T13:38:00"/>
        <d v="2021-08-01T13:45:00"/>
        <d v="2021-08-01T13:46:00"/>
        <d v="2021-08-02T10:37:00"/>
        <d v="2021-08-02T20:14:00"/>
        <d v="2021-08-17T08:35:00"/>
        <d v="2021-08-21T16:06:00"/>
        <d v="2021-08-24T19:15:00"/>
        <d v="2021-08-26T14:07:00"/>
        <d v="2021-08-27T21:25:00"/>
        <d v="2021-08-30T11:44:00"/>
        <d v="2021-09-02T09:18:00"/>
        <d v="2021-09-03T18:22:00"/>
        <d v="2021-09-14T16:58:00"/>
        <d v="2021-09-23T21:29:00"/>
        <d v="2021-09-23T21:41:00"/>
        <d v="2021-09-23T21:45:00"/>
        <d v="2021-09-24T14:08:00"/>
        <d v="2021-09-24T20:17:00"/>
        <d v="2021-09-25T09:20:00"/>
        <d v="2021-09-27T13:41:00"/>
        <d v="2021-10-01T14:04:00"/>
        <d v="2021-10-01T21:11:00"/>
        <d v="2021-10-01T21:54:00"/>
        <d v="2021-10-02T09:18:00"/>
        <d v="2021-10-02T20:15:00"/>
        <d v="2021-10-14T21:03:00"/>
        <d v="2021-10-16T10:42:00"/>
        <d v="2021-10-18T21:01:00"/>
        <d v="2021-10-27T12:33:00"/>
        <d v="2021-10-30T11:45:00"/>
        <d v="2021-10-30T12:38:00"/>
        <d v="2021-11-01T14:07:00"/>
        <d v="2021-11-02T09:18:00"/>
        <d v="2021-11-02T22:41:00"/>
        <d v="2021-11-13T19:10:00"/>
        <d v="2021-11-14T16:54:00"/>
        <d v="2021-11-14T16:55:00"/>
        <d v="2021-11-14T16:56:00"/>
        <d v="2021-11-18T12:59:00"/>
        <d v="2021-11-27T18:41:00"/>
        <d v="2021-11-27T22:34:00"/>
        <d v="2021-11-27T23:14:00"/>
        <d v="2021-11-28T13:10:00"/>
        <d v="2021-11-28T19:59:00"/>
        <d v="2021-11-29T09:29:00"/>
        <d v="2021-11-29T20:09:00"/>
        <d v="2021-11-29T20:47:00"/>
        <d v="2021-11-29T21:56:00"/>
        <d v="2021-11-30T10:11:00"/>
        <d v="2021-11-30T14:17:00"/>
        <d v="2021-11-30T14:24:00"/>
        <d v="2021-12-01T13:25:00"/>
        <d v="2021-12-01T22:44:00"/>
        <d v="2021-12-02T14:47:00"/>
        <d v="2021-12-02T14:48:00"/>
        <d v="2021-12-02T16:04:00"/>
        <d v="2021-12-12T21:47:00"/>
        <d v="2021-12-14T10:33:00"/>
        <d v="2021-12-14T21:21:00"/>
        <d v="2021-12-14T23:54:00"/>
        <d v="2021-12-16T13:38:00"/>
        <d v="2021-12-16T18:35:00"/>
        <d v="2021-12-16T18:44:00"/>
        <d v="2021-12-17T14:45:00"/>
        <d v="2021-12-17T18:54:00"/>
        <d v="2021-12-18T14:19:00"/>
        <d v="2021-12-18T19:52:00"/>
        <d v="2021-12-18T21:00:00"/>
        <d v="2021-12-18T21:01:00"/>
        <d v="2021-12-19T15:51:00"/>
        <d v="2021-12-20T09:46:00"/>
        <d v="2021-12-20T13:35:00"/>
        <d v="2021-12-20T15:29:00"/>
        <d v="2021-12-20T16:55:00"/>
        <d v="2021-12-20T19:22:00"/>
        <d v="2021-12-20T19:23:00"/>
        <d v="2021-12-21T11:43:00"/>
        <d v="2021-12-21T14:02:00"/>
        <d v="2021-12-21T20:53:00"/>
        <d v="2021-12-23T13:51:00"/>
        <d v="2021-12-23T16:31:00"/>
        <d v="2021-12-24T14:35:00"/>
        <d v="2021-12-25T13:32:00"/>
        <d v="2021-12-25T15:35:00"/>
        <d v="2021-12-25T17:01:00"/>
        <d v="2021-12-25T19:50:00"/>
        <d v="2021-12-25T22:53:00"/>
        <d v="2021-12-27T12:33:00"/>
        <d v="2021-12-27T13:44:00"/>
        <d v="2021-12-27T13:45:00"/>
        <d v="2021-12-28T13:42:00"/>
        <d v="2021-12-30T11:45:00"/>
        <d v="2021-12-30T12:37:00"/>
        <d v="2021-12-30T12:43:00"/>
        <d v="2021-12-30T13:36:00"/>
        <d v="2021-12-30T13:56:00"/>
        <d v="2021-12-30T14:10:00"/>
      </sharedItems>
      <fieldGroup par="7"/>
    </cacheField>
    <cacheField name="Mode" numFmtId="0">
      <sharedItems count="1">
        <s v="CUB - online payment"/>
      </sharedItems>
    </cacheField>
    <cacheField name="Category" numFmtId="0">
      <sharedItems count="8">
        <s v="Allowance"/>
        <s v="Food"/>
        <s v="Other"/>
        <s v="Household"/>
        <s v="Transportation"/>
        <s v="Apparel"/>
        <s v="Salary"/>
        <s v="Education"/>
      </sharedItems>
    </cacheField>
    <cacheField name="Sub category" numFmtId="0">
      <sharedItems count="134">
        <s v="From dad"/>
        <s v="Snacks"/>
        <s v="Stuffs"/>
        <s v="Metro"/>
        <s v="Dinner"/>
        <s v="Lunch with company"/>
        <s v="Rapido to pg"/>
        <s v="Gundan + prasanna"/>
        <s v="Eve snack"/>
        <s v="Snack with preethi"/>
        <s v="Lunch + chocolate for preethi"/>
        <s v="From vicky"/>
        <s v="Snacks with preethi and azar"/>
        <s v="Badminton"/>
        <s v="Lemon tea"/>
        <s v="Paani poori"/>
        <s v="Vishnu 100 gowdham 25"/>
        <s v="office"/>
        <s v="Zinger box meal"/>
        <s v="To vishnu"/>
        <s v="Banana"/>
        <s v="Sent to barath"/>
        <s v="Brunch"/>
        <s v="Cycle gap "/>
        <s v="To vicky"/>
        <s v="Train to vnr"/>
        <s v="Dinner with barath"/>
        <s v="Tablet to gowdham"/>
        <s v="Parotta"/>
        <s v="Brownie"/>
        <s v="Games "/>
        <s v="Kfc "/>
        <s v="Side dishes"/>
        <s v="Lunch"/>
        <s v="Kfc dinner"/>
        <s v="To egmore"/>
        <s v="To auto anna"/>
        <s v="Bus ticket"/>
        <s v="Random stuff for drinks"/>
        <s v="Train cbe to chn"/>
        <s v="It better be worth it"/>
        <s v="Eggs"/>
        <s v="Hoodie for gobi"/>
        <s v="Creamstone"/>
        <s v="Tea lights"/>
        <s v="To karthi"/>
        <s v="Pizza"/>
        <s v="From abi"/>
        <s v="Lunch unlimited nv"/>
        <s v="From shakur"/>
        <s v="From barath"/>
        <s v="Dairy milk"/>
        <s v="To gowdham"/>
        <s v="Good soup"/>
        <s v="Bus to Bangalore"/>
        <s v="Earphone"/>
        <s v="To ksr station"/>
        <s v="Sent to preethi"/>
        <s v="Arrear and reval fee"/>
        <s v="To lended people"/>
        <s v="Took from sbi"/>
        <s v="Ramen with gobi"/>
        <s v="Shawarma"/>
        <s v="Cab"/>
        <s v="Refund for bus ticket"/>
        <s v="To abijith and to vicky lend money returned"/>
        <s v="To gobi 1st 1/4th"/>
        <s v="Lended money returned to kumara"/>
        <s v="Jan 2nd with shakur and barath"/>
        <s v="Lended money returned to vishnu"/>
        <s v="Spiderman "/>
        <s v="Vnr to apk"/>
        <s v="Bingo"/>
        <s v="Dinner with roommate"/>
        <s v="Ketch up"/>
        <s v="From barath and shakur"/>
        <s v="To gobi"/>
        <s v="To chennai"/>
        <s v="To kumara"/>
        <s v="Cakepark"/>
        <s v="Dinner with aravind and buddies"/>
        <s v="Coffee + biscuit"/>
        <s v="Auto to Gobi's place"/>
        <s v="Beer"/>
        <s v="Kfc date with myself"/>
        <s v="Rent"/>
        <s v="Lunch with gowdham"/>
        <s v="From gowdham"/>
        <s v="Gave to gowdham"/>
        <s v="Travel to koyambedu"/>
        <s v="Tamen"/>
        <s v="From Deepak"/>
        <s v="Bean bag"/>
        <s v="Kumara"/>
        <s v="Sent to vicky"/>
        <s v="Pepsi"/>
        <s v="Friday snacks with preethi gang"/>
        <s v="Panipoori"/>
        <s v="Milk with bharath"/>
        <s v="From ganesan"/>
        <s v="Rapido + toll"/>
        <s v="Bommasandra to pg"/>
        <s v="Lunch with not preethi"/>
        <s v="Dinner with aravind"/>
        <s v="Lunch pongal"/>
        <s v="Siva + 100 cash"/>
        <s v="Rapido"/>
        <s v="Dinner with gowdham"/>
        <s v="Zomato"/>
        <s v="Snack"/>
        <s v="Breakfast"/>
        <s v="Bharath birthday"/>
        <s v="From kumara"/>
        <s v="Recharge by gowdham"/>
        <s v="Mirror"/>
        <s v="Egg"/>
        <s v="Lended money"/>
        <s v="To rahul"/>
        <s v="To abijith"/>
        <s v="To siva"/>
        <s v="Lunch with barath"/>
        <s v="Water"/>
        <s v="Taxi"/>
        <s v="Bun"/>
        <s v="Puffs"/>
        <s v="Puffs and coffee"/>
        <s v="Lemon tea with company"/>
        <s v="Corn"/>
        <s v="Books"/>
        <s v="Coconut water with stu"/>
        <s v="Coffee and thattai"/>
        <s v="Horlicks + kolakattai"/>
        <s v="Pg to office"/>
        <s v="To barath"/>
      </sharedItems>
    </cacheField>
    <cacheField name="Income/Expense" numFmtId="0">
      <sharedItems count="2">
        <s v="Income"/>
        <s v="Expense"/>
      </sharedItems>
    </cacheField>
    <cacheField name="Debit/Credit" numFmtId="0">
      <sharedItems containsSemiMixedTypes="0" containsString="0" containsNumber="1" minValue="8" maxValue="55530" count="134">
        <n v="8000"/>
        <n v="85"/>
        <n v="500"/>
        <n v="6667"/>
        <n v="30"/>
        <n v="78"/>
        <n v="1460"/>
        <n v="43"/>
        <n v="66"/>
        <n v="340"/>
        <n v="1500"/>
        <n v="70"/>
        <n v="1100"/>
        <n v="148"/>
        <n v="59"/>
        <n v="301.14999999999998"/>
        <n v="171"/>
        <n v="200"/>
        <n v="37"/>
        <n v="188"/>
        <n v="2000"/>
        <n v="176"/>
        <n v="310"/>
        <n v="18"/>
        <n v="25"/>
        <n v="125"/>
        <n v="115"/>
        <n v="55000"/>
        <n v="279"/>
        <n v="138"/>
        <n v="10"/>
        <n v="100"/>
        <n v="105"/>
        <n v="120"/>
        <n v="155"/>
        <n v="725"/>
        <n v="8"/>
        <n v="50"/>
        <n v="475"/>
        <n v="165"/>
        <n v="80"/>
        <n v="348"/>
        <n v="2709"/>
        <n v="60"/>
        <n v="1575"/>
        <n v="250"/>
        <n v="111"/>
        <n v="201.8"/>
        <n v="3336"/>
        <n v="1300"/>
        <n v="83"/>
        <n v="3999"/>
        <n v="289"/>
        <n v="84"/>
        <n v="243"/>
        <n v="339.15"/>
        <n v="300"/>
        <n v="1140"/>
        <n v="201"/>
        <n v="150"/>
        <n v="1365"/>
        <n v="5120"/>
        <n v="3997"/>
        <n v="153"/>
        <n v="107"/>
        <n v="106"/>
        <n v="14000"/>
        <n v="380"/>
        <n v="5180"/>
        <n v="306"/>
        <n v="388"/>
        <n v="600"/>
        <n v="354"/>
        <n v="40"/>
        <n v="1363.72"/>
        <n v="429"/>
        <n v="877.81"/>
        <n v="440"/>
        <n v="4500"/>
        <n v="1000"/>
        <n v="491"/>
        <n v="749"/>
        <n v="4120"/>
        <n v="1599"/>
        <n v="214"/>
        <n v="4620"/>
        <n v="302"/>
        <n v="259"/>
        <n v="4580"/>
        <n v="535.29999999999995"/>
        <n v="260"/>
        <n v="324.7"/>
        <n v="2250"/>
        <n v="2099"/>
        <n v="170"/>
        <n v="465"/>
        <n v="133"/>
        <n v="3325"/>
        <n v="55140"/>
        <n v="641"/>
        <n v="110"/>
        <n v="10000"/>
        <n v="20"/>
        <n v="286"/>
        <n v="199"/>
        <n v="135.5"/>
        <n v="4099"/>
        <n v="373"/>
        <n v="1530"/>
        <n v="55240"/>
        <n v="35"/>
        <n v="130"/>
        <n v="269.39999999999998"/>
        <n v="94"/>
        <n v="44"/>
        <n v="128"/>
        <n v="301.75"/>
        <n v="479"/>
        <n v="7770"/>
        <n v="65"/>
        <n v="75"/>
        <n v="400"/>
        <n v="700"/>
        <n v="160"/>
        <n v="113"/>
        <n v="5000"/>
        <n v="800"/>
        <n v="239"/>
        <n v="32"/>
        <n v="15"/>
        <n v="262"/>
        <n v="504"/>
        <n v="14"/>
        <n v="55530"/>
      </sharedItems>
    </cacheField>
    <cacheField name="Days (Date / Time)" numFmtId="0" databaseField="0">
      <fieldGroup base="0">
        <rangePr groupBy="days" startDate="2021-01-01T21:45:00" endDate="2021-12-30T14:10:00"/>
        <groupItems count="368">
          <s v="&lt;1/1/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21"/>
        </groupItems>
      </fieldGroup>
    </cacheField>
    <cacheField name="Months (Date / Time)" numFmtId="0" databaseField="0">
      <fieldGroup base="0">
        <rangePr groupBy="months" startDate="2021-01-01T21:45:00" endDate="2021-12-30T14:10:00"/>
        <groupItems count="14">
          <s v="&lt;1/1/2021"/>
          <s v="Jan"/>
          <s v="Feb"/>
          <s v="Mar"/>
          <s v="Apr"/>
          <s v="May"/>
          <s v="Jun"/>
          <s v="Jul"/>
          <s v="Aug"/>
          <s v="Sep"/>
          <s v="Oct"/>
          <s v="Nov"/>
          <s v="Dec"/>
          <s v="&gt;12/30/2021"/>
        </groupItems>
      </fieldGroup>
    </cacheField>
  </cacheFields>
  <extLst>
    <ext xmlns:x14="http://schemas.microsoft.com/office/spreadsheetml/2009/9/main" uri="{725AE2AE-9491-48be-B2B4-4EB974FC3084}">
      <x14:pivotCacheDefinition pivotCacheId="15812252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ren Samuel" refreshedDate="46134.578456249998" createdVersion="8" refreshedVersion="8" minRefreshableVersion="3" recordCount="225" xr:uid="{082EC1DC-AA50-4106-95B6-187D629F14A5}">
  <cacheSource type="worksheet">
    <worksheetSource ref="A1:H226" sheet="Sheet1"/>
  </cacheSource>
  <cacheFields count="10">
    <cacheField name="Date / Time" numFmtId="164">
      <sharedItems containsSemiMixedTypes="0" containsNonDate="0" containsDate="1" containsString="0" minDate="2021-01-01T21:45:00" maxDate="2021-12-30T14:10:00" count="212">
        <d v="2021-01-01T21:45:00"/>
        <d v="2021-01-01T21:46:00"/>
        <d v="2021-01-03T18:21:00"/>
        <d v="2021-01-03T18:22:00"/>
        <d v="2021-01-03T18:56:00"/>
        <d v="2021-01-03T19:50:00"/>
        <d v="2021-01-12T14:00:00"/>
        <d v="2021-01-13T17:47:00"/>
        <d v="2021-01-13T20:46:00"/>
        <d v="2021-01-14T16:56:00"/>
        <d v="2021-01-15T21:16:00"/>
        <d v="2021-01-17T18:31:00"/>
        <d v="2021-01-18T13:51:00"/>
        <d v="2021-01-18T17:10:00"/>
        <d v="2021-01-18T20:54:00"/>
        <d v="2021-01-19T14:27:00"/>
        <d v="2021-01-21T11:47:00"/>
        <d v="2021-01-21T14:22:00"/>
        <d v="2021-01-23T21:27:00"/>
        <d v="2021-01-23T21:29:00"/>
        <d v="2021-01-25T10:23:00"/>
        <d v="2021-01-26T16:52:00"/>
        <d v="2021-01-26T17:45:00"/>
        <d v="2021-01-27T13:38:00"/>
        <d v="2021-01-27T13:39:00"/>
        <d v="2021-01-27T13:41:00"/>
        <d v="2021-01-28T14:23:00"/>
        <d v="2021-01-28T21:58:00"/>
        <d v="2021-01-29T14:44:00"/>
        <d v="2021-01-30T12:28:00"/>
        <d v="2021-01-30T19:01:00"/>
        <d v="2021-01-30T19:17:00"/>
        <d v="2021-01-31T08:27:00"/>
        <d v="2021-02-01T14:16:00"/>
        <d v="2021-02-01T20:32:00"/>
        <d v="2021-02-01T20:33:00"/>
        <d v="2021-02-02T20:15:00"/>
        <d v="2021-02-03T10:11:00"/>
        <d v="2021-02-13T21:54:00"/>
        <d v="2021-02-16T16:57:00"/>
        <d v="2021-02-17T13:11:00"/>
        <d v="2021-02-18T23:01:00"/>
        <d v="2021-02-19T06:18:00"/>
        <d v="2021-02-19T06:27:00"/>
        <d v="2021-02-19T08:26:00"/>
        <d v="2021-02-19T21:35:00"/>
        <d v="2021-02-19T21:57:00"/>
        <d v="2021-02-19T23:03:00"/>
        <d v="2021-02-20T15:24:00"/>
        <d v="2021-02-21T15:38:00"/>
        <d v="2021-02-21T15:40:00"/>
        <d v="2021-02-21T22:15:00"/>
        <d v="2021-02-23T16:06:00"/>
        <d v="2021-02-23T17:35:00"/>
        <d v="2021-02-24T22:21:00"/>
        <d v="2021-02-26T01:39:00"/>
        <d v="2021-02-26T17:37:00"/>
        <d v="2021-02-27T15:29:00"/>
        <d v="2021-02-28T11:45:00"/>
        <d v="2021-02-28T11:56:00"/>
        <d v="2021-03-01T14:30:00"/>
        <d v="2021-03-01T14:31:00"/>
        <d v="2021-03-01T21:11:00"/>
        <d v="2021-03-01T21:54:00"/>
        <d v="2021-03-01T22:15:00"/>
        <d v="2021-03-02T08:59:00"/>
        <d v="2021-03-02T14:53:00"/>
        <d v="2021-03-15T21:17:00"/>
        <d v="2021-03-21T21:12:00"/>
        <d v="2021-03-22T06:33:00"/>
        <d v="2021-03-23T12:38:00"/>
        <d v="2021-03-31T08:26:00"/>
        <d v="2021-04-01T07:58:00"/>
        <d v="2021-04-01T08:01:00"/>
        <d v="2021-04-01T13:53:00"/>
        <d v="2021-04-01T22:11:00"/>
        <d v="2021-04-03T10:11:00"/>
        <d v="2021-04-19T20:45:00"/>
        <d v="2021-04-21T22:10:00"/>
        <d v="2021-04-22T06:33:00"/>
        <d v="2021-04-22T20:28:00"/>
        <d v="2021-04-25T20:46:00"/>
        <d v="2021-05-01T14:30:00"/>
        <d v="2021-05-01T14:35:00"/>
        <d v="2021-05-01T14:37:00"/>
        <d v="2021-05-01T14:39:00"/>
        <d v="2021-05-01T14:42:00"/>
        <d v="2021-05-01T14:46:00"/>
        <d v="2021-05-18T19:51:00"/>
        <d v="2021-05-21T20:23:00"/>
        <d v="2021-05-22T06:33:00"/>
        <d v="2021-05-31T08:44:00"/>
        <d v="2021-06-01T11:48:00"/>
        <d v="2021-06-01T14:22:00"/>
        <d v="2021-06-01T20:13:00"/>
        <d v="2021-06-01T20:58:00"/>
        <d v="2021-06-01T21:30:00"/>
        <d v="2021-06-02T16:40:00"/>
        <d v="2021-06-02T17:52:00"/>
        <d v="2021-06-02T17:53:00"/>
        <d v="2021-06-02T18:32:00"/>
        <d v="2021-06-02T21:20:00"/>
        <d v="2021-06-14T15:18:00"/>
        <d v="2021-06-22T06:33:00"/>
        <d v="2021-06-22T16:41:00"/>
        <d v="2021-07-01T13:51:00"/>
        <d v="2021-07-02T07:08:00"/>
        <d v="2021-07-18T12:59:00"/>
        <d v="2021-07-22T06:33:00"/>
        <d v="2021-07-23T21:29:00"/>
        <d v="2021-07-24T21:49:00"/>
        <d v="2021-07-25T13:35:00"/>
        <d v="2021-07-26T17:37:00"/>
        <d v="2021-07-27T13:38:00"/>
        <d v="2021-08-01T13:38:00"/>
        <d v="2021-08-01T13:45:00"/>
        <d v="2021-08-01T13:46:00"/>
        <d v="2021-08-02T10:37:00"/>
        <d v="2021-08-02T20:14:00"/>
        <d v="2021-08-17T08:35:00"/>
        <d v="2021-08-21T16:06:00"/>
        <d v="2021-08-24T19:15:00"/>
        <d v="2021-08-26T14:07:00"/>
        <d v="2021-08-27T21:25:00"/>
        <d v="2021-08-30T11:44:00"/>
        <d v="2021-09-02T09:18:00"/>
        <d v="2021-09-03T18:22:00"/>
        <d v="2021-09-14T16:58:00"/>
        <d v="2021-09-23T21:29:00"/>
        <d v="2021-09-23T21:41:00"/>
        <d v="2021-09-23T21:45:00"/>
        <d v="2021-09-24T14:08:00"/>
        <d v="2021-09-24T20:17:00"/>
        <d v="2021-09-25T09:20:00"/>
        <d v="2021-09-27T13:41:00"/>
        <d v="2021-10-01T14:04:00"/>
        <d v="2021-10-01T21:11:00"/>
        <d v="2021-10-01T21:54:00"/>
        <d v="2021-10-02T09:18:00"/>
        <d v="2021-10-02T20:15:00"/>
        <d v="2021-10-14T21:03:00"/>
        <d v="2021-10-16T10:42:00"/>
        <d v="2021-10-18T21:01:00"/>
        <d v="2021-10-27T12:33:00"/>
        <d v="2021-10-30T11:45:00"/>
        <d v="2021-10-30T12:38:00"/>
        <d v="2021-11-01T14:07:00"/>
        <d v="2021-11-02T09:18:00"/>
        <d v="2021-11-02T22:41:00"/>
        <d v="2021-11-13T19:10:00"/>
        <d v="2021-11-14T16:54:00"/>
        <d v="2021-11-14T16:55:00"/>
        <d v="2021-11-14T16:56:00"/>
        <d v="2021-11-18T12:59:00"/>
        <d v="2021-11-27T18:41:00"/>
        <d v="2021-11-27T22:34:00"/>
        <d v="2021-11-27T23:14:00"/>
        <d v="2021-11-28T13:10:00"/>
        <d v="2021-11-28T19:59:00"/>
        <d v="2021-11-29T09:29:00"/>
        <d v="2021-11-29T20:09:00"/>
        <d v="2021-11-29T20:47:00"/>
        <d v="2021-11-29T21:56:00"/>
        <d v="2021-11-30T10:11:00"/>
        <d v="2021-11-30T14:17:00"/>
        <d v="2021-11-30T14:24:00"/>
        <d v="2021-12-01T13:25:00"/>
        <d v="2021-12-01T22:44:00"/>
        <d v="2021-12-02T14:47:00"/>
        <d v="2021-12-02T14:48:00"/>
        <d v="2021-12-02T16:04:00"/>
        <d v="2021-12-12T21:47:00"/>
        <d v="2021-12-14T10:33:00"/>
        <d v="2021-12-14T21:21:00"/>
        <d v="2021-12-14T23:54:00"/>
        <d v="2021-12-16T13:38:00"/>
        <d v="2021-12-16T18:35:00"/>
        <d v="2021-12-16T18:44:00"/>
        <d v="2021-12-17T14:45:00"/>
        <d v="2021-12-17T18:54:00"/>
        <d v="2021-12-18T14:19:00"/>
        <d v="2021-12-18T19:52:00"/>
        <d v="2021-12-18T21:00:00"/>
        <d v="2021-12-18T21:01:00"/>
        <d v="2021-12-19T15:51:00"/>
        <d v="2021-12-20T09:46:00"/>
        <d v="2021-12-20T13:35:00"/>
        <d v="2021-12-20T15:29:00"/>
        <d v="2021-12-20T16:55:00"/>
        <d v="2021-12-20T19:22:00"/>
        <d v="2021-12-20T19:23:00"/>
        <d v="2021-12-21T11:43:00"/>
        <d v="2021-12-21T14:02:00"/>
        <d v="2021-12-21T20:53:00"/>
        <d v="2021-12-23T13:51:00"/>
        <d v="2021-12-23T16:31:00"/>
        <d v="2021-12-24T14:35:00"/>
        <d v="2021-12-25T13:32:00"/>
        <d v="2021-12-25T15:35:00"/>
        <d v="2021-12-25T17:01:00"/>
        <d v="2021-12-25T19:50:00"/>
        <d v="2021-12-25T22:53:00"/>
        <d v="2021-12-27T12:33:00"/>
        <d v="2021-12-27T13:44:00"/>
        <d v="2021-12-27T13:45:00"/>
        <d v="2021-12-28T13:42:00"/>
        <d v="2021-12-30T11:45:00"/>
        <d v="2021-12-30T12:37:00"/>
        <d v="2021-12-30T12:43:00"/>
        <d v="2021-12-30T13:36:00"/>
        <d v="2021-12-30T13:56:00"/>
        <d v="2021-12-30T14:10:00"/>
      </sharedItems>
      <fieldGroup par="9"/>
    </cacheField>
    <cacheField name="Mode" numFmtId="0">
      <sharedItems/>
    </cacheField>
    <cacheField name="Category" numFmtId="0">
      <sharedItems count="8">
        <s v="Allowance"/>
        <s v="Food"/>
        <s v="Other"/>
        <s v="Household"/>
        <s v="Transportation"/>
        <s v="Apparel"/>
        <s v="Salary"/>
        <s v="Education"/>
      </sharedItems>
    </cacheField>
    <cacheField name="Sub category" numFmtId="0">
      <sharedItems count="134">
        <s v="From dad"/>
        <s v="Snacks"/>
        <s v="Stuffs"/>
        <s v="Metro"/>
        <s v="Dinner"/>
        <s v="Lunch with company"/>
        <s v="Rapido to pg"/>
        <s v="Gundan + prasanna"/>
        <s v="Eve snack"/>
        <s v="Snack with preethi"/>
        <s v="Lunch + chocolate for preethi"/>
        <s v="From vicky"/>
        <s v="Snacks with preethi and azar"/>
        <s v="Badminton"/>
        <s v="Lemon tea"/>
        <s v="Paani poori"/>
        <s v="Vishnu 100 gowdham 25"/>
        <s v="office"/>
        <s v="Zinger box meal"/>
        <s v="To vishnu"/>
        <s v="Banana"/>
        <s v="Sent to barath"/>
        <s v="Brunch"/>
        <s v="Cycle gap "/>
        <s v="To vicky"/>
        <s v="Train to vnr"/>
        <s v="Dinner with barath"/>
        <s v="Tablet to gowdham"/>
        <s v="Parotta"/>
        <s v="Brownie"/>
        <s v="Games "/>
        <s v="Kfc "/>
        <s v="Side dishes"/>
        <s v="Lunch"/>
        <s v="Kfc dinner"/>
        <s v="To egmore"/>
        <s v="To auto anna"/>
        <s v="Bus ticket"/>
        <s v="Random stuff for drinks"/>
        <s v="Train cbe to chn"/>
        <s v="It better be worth it"/>
        <s v="Eggs"/>
        <s v="Hoodie for gobi"/>
        <s v="Creamstone"/>
        <s v="Tea lights"/>
        <s v="To karthi"/>
        <s v="Pizza"/>
        <s v="From abi"/>
        <s v="Lunch unlimited nv"/>
        <s v="From shakur"/>
        <s v="From barath"/>
        <s v="Dairy milk"/>
        <s v="To gowdham"/>
        <s v="Good soup"/>
        <s v="Bus to Bangalore"/>
        <s v="Earphone"/>
        <s v="To ksr station"/>
        <s v="Sent to preethi"/>
        <s v="Arrear and reval fee"/>
        <s v="To lended people"/>
        <s v="Took from sbi"/>
        <s v="Ramen with gobi"/>
        <s v="Shawarma"/>
        <s v="Cab"/>
        <s v="Refund for bus ticket"/>
        <s v="To abijith and to vicky lend money returned"/>
        <s v="To gobi 1st 1/4th"/>
        <s v="Lended money returned to kumara"/>
        <s v="Jan 2nd with shakur and barath"/>
        <s v="Lended money returned to vishnu"/>
        <s v="Spiderman "/>
        <s v="Vnr to apk"/>
        <s v="Bingo"/>
        <s v="Dinner with roommate"/>
        <s v="Ketch up"/>
        <s v="From barath and shakur"/>
        <s v="To gobi"/>
        <s v="To chennai"/>
        <s v="To kumara"/>
        <s v="Cakepark"/>
        <s v="Dinner with aravind and buddies"/>
        <s v="Coffee + biscuit"/>
        <s v="Auto to Gobi's place"/>
        <s v="Beer"/>
        <s v="Kfc date with myself"/>
        <s v="Rent"/>
        <s v="Lunch with gowdham"/>
        <s v="From gowdham"/>
        <s v="Gave to gowdham"/>
        <s v="Travel to koyambedu"/>
        <s v="Tamen"/>
        <s v="From Deepak"/>
        <s v="Bean bag"/>
        <s v="Kumara"/>
        <s v="Sent to vicky"/>
        <s v="Pepsi"/>
        <s v="Friday snacks with preethi gang"/>
        <s v="Panipoori"/>
        <s v="Milk with bharath"/>
        <s v="From ganesan"/>
        <s v="Rapido + toll"/>
        <s v="Bommasandra to pg"/>
        <s v="Lunch with not preethi"/>
        <s v="Dinner with aravind"/>
        <s v="Lunch pongal"/>
        <s v="Siva + 100 cash"/>
        <s v="Rapido"/>
        <s v="Dinner with gowdham"/>
        <s v="Zomato"/>
        <s v="Snack"/>
        <s v="Breakfast"/>
        <s v="Bharath birthday"/>
        <s v="From kumara"/>
        <s v="Recharge by gowdham"/>
        <s v="Mirror"/>
        <s v="Egg"/>
        <s v="Lended money"/>
        <s v="To rahul"/>
        <s v="To abijith"/>
        <s v="To siva"/>
        <s v="Lunch with barath"/>
        <s v="Water"/>
        <s v="Taxi"/>
        <s v="Bun"/>
        <s v="Puffs"/>
        <s v="Puffs and coffee"/>
        <s v="Lemon tea with company"/>
        <s v="Corn"/>
        <s v="Books"/>
        <s v="Coconut water with stu"/>
        <s v="Coffee and thattai"/>
        <s v="Horlicks + kolakattai"/>
        <s v="Pg to office"/>
        <s v="To barath"/>
      </sharedItems>
    </cacheField>
    <cacheField name="Income/Expense" numFmtId="0">
      <sharedItems count="2">
        <s v="Income"/>
        <s v="Expense"/>
      </sharedItems>
    </cacheField>
    <cacheField name="Debit/Credit" numFmtId="0">
      <sharedItems containsSemiMixedTypes="0" containsString="0" containsNumber="1" minValue="8" maxValue="55530"/>
    </cacheField>
    <cacheField name="Income" numFmtId="0">
      <sharedItems containsSemiMixedTypes="0" containsString="0" containsNumber="1" containsInteger="1" minValue="0" maxValue="55530"/>
    </cacheField>
    <cacheField name="Expense" numFmtId="0">
      <sharedItems containsSemiMixedTypes="0" containsString="0" containsNumber="1" minValue="0" maxValue="14000"/>
    </cacheField>
    <cacheField name="Days (Date / Time)" numFmtId="0" databaseField="0">
      <fieldGroup base="0">
        <rangePr groupBy="days" startDate="2021-01-01T21:45:00" endDate="2021-12-30T14:10:00"/>
        <groupItems count="368">
          <s v="&lt;1/1/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21"/>
        </groupItems>
      </fieldGroup>
    </cacheField>
    <cacheField name="Months (Date / Time)" numFmtId="0" databaseField="0">
      <fieldGroup base="0">
        <rangePr groupBy="months" startDate="2021-01-01T21:45:00" endDate="2021-12-30T14:10:00"/>
        <groupItems count="14">
          <s v="&lt;1/1/2021"/>
          <s v="Jan"/>
          <s v="Feb"/>
          <s v="Mar"/>
          <s v="Apr"/>
          <s v="May"/>
          <s v="Jun"/>
          <s v="Jul"/>
          <s v="Aug"/>
          <s v="Sep"/>
          <s v="Oct"/>
          <s v="Nov"/>
          <s v="Dec"/>
          <s v="&gt;12/30/202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5">
  <r>
    <x v="0"/>
    <x v="0"/>
    <x v="0"/>
    <x v="0"/>
    <x v="0"/>
    <x v="0"/>
  </r>
  <r>
    <x v="1"/>
    <x v="0"/>
    <x v="1"/>
    <x v="1"/>
    <x v="1"/>
    <x v="1"/>
  </r>
  <r>
    <x v="2"/>
    <x v="0"/>
    <x v="2"/>
    <x v="0"/>
    <x v="0"/>
    <x v="2"/>
  </r>
  <r>
    <x v="3"/>
    <x v="0"/>
    <x v="3"/>
    <x v="2"/>
    <x v="1"/>
    <x v="3"/>
  </r>
  <r>
    <x v="4"/>
    <x v="0"/>
    <x v="4"/>
    <x v="3"/>
    <x v="1"/>
    <x v="4"/>
  </r>
  <r>
    <x v="5"/>
    <x v="0"/>
    <x v="1"/>
    <x v="4"/>
    <x v="1"/>
    <x v="5"/>
  </r>
  <r>
    <x v="6"/>
    <x v="0"/>
    <x v="1"/>
    <x v="5"/>
    <x v="1"/>
    <x v="6"/>
  </r>
  <r>
    <x v="7"/>
    <x v="0"/>
    <x v="4"/>
    <x v="6"/>
    <x v="1"/>
    <x v="7"/>
  </r>
  <r>
    <x v="8"/>
    <x v="0"/>
    <x v="1"/>
    <x v="4"/>
    <x v="1"/>
    <x v="8"/>
  </r>
  <r>
    <x v="9"/>
    <x v="0"/>
    <x v="2"/>
    <x v="7"/>
    <x v="0"/>
    <x v="9"/>
  </r>
  <r>
    <x v="10"/>
    <x v="0"/>
    <x v="2"/>
    <x v="0"/>
    <x v="0"/>
    <x v="10"/>
  </r>
  <r>
    <x v="10"/>
    <x v="0"/>
    <x v="1"/>
    <x v="1"/>
    <x v="1"/>
    <x v="11"/>
  </r>
  <r>
    <x v="11"/>
    <x v="0"/>
    <x v="1"/>
    <x v="8"/>
    <x v="1"/>
    <x v="12"/>
  </r>
  <r>
    <x v="12"/>
    <x v="0"/>
    <x v="1"/>
    <x v="5"/>
    <x v="1"/>
    <x v="13"/>
  </r>
  <r>
    <x v="13"/>
    <x v="0"/>
    <x v="1"/>
    <x v="9"/>
    <x v="1"/>
    <x v="14"/>
  </r>
  <r>
    <x v="14"/>
    <x v="0"/>
    <x v="1"/>
    <x v="4"/>
    <x v="1"/>
    <x v="15"/>
  </r>
  <r>
    <x v="15"/>
    <x v="0"/>
    <x v="1"/>
    <x v="10"/>
    <x v="1"/>
    <x v="16"/>
  </r>
  <r>
    <x v="16"/>
    <x v="0"/>
    <x v="2"/>
    <x v="11"/>
    <x v="0"/>
    <x v="17"/>
  </r>
  <r>
    <x v="16"/>
    <x v="0"/>
    <x v="1"/>
    <x v="1"/>
    <x v="1"/>
    <x v="18"/>
  </r>
  <r>
    <x v="17"/>
    <x v="0"/>
    <x v="1"/>
    <x v="5"/>
    <x v="1"/>
    <x v="19"/>
  </r>
  <r>
    <x v="18"/>
    <x v="0"/>
    <x v="2"/>
    <x v="0"/>
    <x v="0"/>
    <x v="20"/>
  </r>
  <r>
    <x v="18"/>
    <x v="0"/>
    <x v="1"/>
    <x v="12"/>
    <x v="1"/>
    <x v="21"/>
  </r>
  <r>
    <x v="18"/>
    <x v="0"/>
    <x v="5"/>
    <x v="13"/>
    <x v="1"/>
    <x v="17"/>
  </r>
  <r>
    <x v="19"/>
    <x v="0"/>
    <x v="2"/>
    <x v="11"/>
    <x v="0"/>
    <x v="22"/>
  </r>
  <r>
    <x v="20"/>
    <x v="0"/>
    <x v="1"/>
    <x v="14"/>
    <x v="1"/>
    <x v="23"/>
  </r>
  <r>
    <x v="21"/>
    <x v="0"/>
    <x v="1"/>
    <x v="15"/>
    <x v="1"/>
    <x v="24"/>
  </r>
  <r>
    <x v="22"/>
    <x v="0"/>
    <x v="2"/>
    <x v="16"/>
    <x v="0"/>
    <x v="25"/>
  </r>
  <r>
    <x v="22"/>
    <x v="0"/>
    <x v="1"/>
    <x v="1"/>
    <x v="1"/>
    <x v="26"/>
  </r>
  <r>
    <x v="23"/>
    <x v="0"/>
    <x v="6"/>
    <x v="17"/>
    <x v="0"/>
    <x v="27"/>
  </r>
  <r>
    <x v="24"/>
    <x v="0"/>
    <x v="1"/>
    <x v="18"/>
    <x v="1"/>
    <x v="28"/>
  </r>
  <r>
    <x v="25"/>
    <x v="0"/>
    <x v="2"/>
    <x v="19"/>
    <x v="1"/>
    <x v="12"/>
  </r>
  <r>
    <x v="26"/>
    <x v="0"/>
    <x v="1"/>
    <x v="5"/>
    <x v="1"/>
    <x v="29"/>
  </r>
  <r>
    <x v="27"/>
    <x v="0"/>
    <x v="1"/>
    <x v="20"/>
    <x v="1"/>
    <x v="30"/>
  </r>
  <r>
    <x v="28"/>
    <x v="0"/>
    <x v="2"/>
    <x v="21"/>
    <x v="1"/>
    <x v="31"/>
  </r>
  <r>
    <x v="29"/>
    <x v="0"/>
    <x v="1"/>
    <x v="22"/>
    <x v="1"/>
    <x v="32"/>
  </r>
  <r>
    <x v="30"/>
    <x v="0"/>
    <x v="1"/>
    <x v="23"/>
    <x v="1"/>
    <x v="33"/>
  </r>
  <r>
    <x v="31"/>
    <x v="0"/>
    <x v="1"/>
    <x v="4"/>
    <x v="1"/>
    <x v="34"/>
  </r>
  <r>
    <x v="32"/>
    <x v="0"/>
    <x v="2"/>
    <x v="24"/>
    <x v="1"/>
    <x v="17"/>
  </r>
  <r>
    <x v="33"/>
    <x v="0"/>
    <x v="4"/>
    <x v="25"/>
    <x v="1"/>
    <x v="35"/>
  </r>
  <r>
    <x v="34"/>
    <x v="0"/>
    <x v="1"/>
    <x v="26"/>
    <x v="1"/>
    <x v="17"/>
  </r>
  <r>
    <x v="35"/>
    <x v="0"/>
    <x v="2"/>
    <x v="27"/>
    <x v="1"/>
    <x v="36"/>
  </r>
  <r>
    <x v="36"/>
    <x v="0"/>
    <x v="1"/>
    <x v="28"/>
    <x v="1"/>
    <x v="33"/>
  </r>
  <r>
    <x v="37"/>
    <x v="0"/>
    <x v="1"/>
    <x v="29"/>
    <x v="1"/>
    <x v="37"/>
  </r>
  <r>
    <x v="38"/>
    <x v="0"/>
    <x v="5"/>
    <x v="30"/>
    <x v="1"/>
    <x v="31"/>
  </r>
  <r>
    <x v="39"/>
    <x v="0"/>
    <x v="1"/>
    <x v="31"/>
    <x v="1"/>
    <x v="38"/>
  </r>
  <r>
    <x v="39"/>
    <x v="0"/>
    <x v="1"/>
    <x v="32"/>
    <x v="1"/>
    <x v="39"/>
  </r>
  <r>
    <x v="40"/>
    <x v="0"/>
    <x v="1"/>
    <x v="33"/>
    <x v="1"/>
    <x v="40"/>
  </r>
  <r>
    <x v="41"/>
    <x v="0"/>
    <x v="1"/>
    <x v="34"/>
    <x v="1"/>
    <x v="41"/>
  </r>
  <r>
    <x v="42"/>
    <x v="0"/>
    <x v="4"/>
    <x v="35"/>
    <x v="1"/>
    <x v="42"/>
  </r>
  <r>
    <x v="43"/>
    <x v="0"/>
    <x v="2"/>
    <x v="36"/>
    <x v="1"/>
    <x v="37"/>
  </r>
  <r>
    <x v="44"/>
    <x v="0"/>
    <x v="4"/>
    <x v="3"/>
    <x v="1"/>
    <x v="43"/>
  </r>
  <r>
    <x v="45"/>
    <x v="0"/>
    <x v="4"/>
    <x v="37"/>
    <x v="1"/>
    <x v="44"/>
  </r>
  <r>
    <x v="46"/>
    <x v="0"/>
    <x v="1"/>
    <x v="1"/>
    <x v="1"/>
    <x v="45"/>
  </r>
  <r>
    <x v="47"/>
    <x v="0"/>
    <x v="1"/>
    <x v="38"/>
    <x v="1"/>
    <x v="46"/>
  </r>
  <r>
    <x v="48"/>
    <x v="0"/>
    <x v="1"/>
    <x v="33"/>
    <x v="1"/>
    <x v="17"/>
  </r>
  <r>
    <x v="49"/>
    <x v="0"/>
    <x v="4"/>
    <x v="39"/>
    <x v="1"/>
    <x v="47"/>
  </r>
  <r>
    <x v="50"/>
    <x v="0"/>
    <x v="3"/>
    <x v="2"/>
    <x v="1"/>
    <x v="48"/>
  </r>
  <r>
    <x v="51"/>
    <x v="0"/>
    <x v="4"/>
    <x v="40"/>
    <x v="1"/>
    <x v="49"/>
  </r>
  <r>
    <x v="52"/>
    <x v="0"/>
    <x v="1"/>
    <x v="41"/>
    <x v="1"/>
    <x v="50"/>
  </r>
  <r>
    <x v="53"/>
    <x v="0"/>
    <x v="5"/>
    <x v="42"/>
    <x v="1"/>
    <x v="51"/>
  </r>
  <r>
    <x v="54"/>
    <x v="0"/>
    <x v="1"/>
    <x v="43"/>
    <x v="1"/>
    <x v="52"/>
  </r>
  <r>
    <x v="55"/>
    <x v="0"/>
    <x v="1"/>
    <x v="44"/>
    <x v="1"/>
    <x v="53"/>
  </r>
  <r>
    <x v="56"/>
    <x v="0"/>
    <x v="2"/>
    <x v="45"/>
    <x v="1"/>
    <x v="31"/>
  </r>
  <r>
    <x v="57"/>
    <x v="0"/>
    <x v="1"/>
    <x v="33"/>
    <x v="1"/>
    <x v="54"/>
  </r>
  <r>
    <x v="58"/>
    <x v="0"/>
    <x v="6"/>
    <x v="17"/>
    <x v="0"/>
    <x v="27"/>
  </r>
  <r>
    <x v="59"/>
    <x v="0"/>
    <x v="1"/>
    <x v="46"/>
    <x v="1"/>
    <x v="55"/>
  </r>
  <r>
    <x v="60"/>
    <x v="0"/>
    <x v="2"/>
    <x v="47"/>
    <x v="0"/>
    <x v="56"/>
  </r>
  <r>
    <x v="61"/>
    <x v="0"/>
    <x v="1"/>
    <x v="48"/>
    <x v="1"/>
    <x v="56"/>
  </r>
  <r>
    <x v="62"/>
    <x v="0"/>
    <x v="2"/>
    <x v="49"/>
    <x v="0"/>
    <x v="57"/>
  </r>
  <r>
    <x v="63"/>
    <x v="0"/>
    <x v="2"/>
    <x v="50"/>
    <x v="0"/>
    <x v="58"/>
  </r>
  <r>
    <x v="64"/>
    <x v="0"/>
    <x v="1"/>
    <x v="51"/>
    <x v="1"/>
    <x v="30"/>
  </r>
  <r>
    <x v="65"/>
    <x v="0"/>
    <x v="2"/>
    <x v="52"/>
    <x v="1"/>
    <x v="59"/>
  </r>
  <r>
    <x v="66"/>
    <x v="0"/>
    <x v="1"/>
    <x v="53"/>
    <x v="1"/>
    <x v="37"/>
  </r>
  <r>
    <x v="67"/>
    <x v="0"/>
    <x v="4"/>
    <x v="54"/>
    <x v="1"/>
    <x v="60"/>
  </r>
  <r>
    <x v="68"/>
    <x v="0"/>
    <x v="6"/>
    <x v="17"/>
    <x v="0"/>
    <x v="27"/>
  </r>
  <r>
    <x v="69"/>
    <x v="0"/>
    <x v="3"/>
    <x v="2"/>
    <x v="1"/>
    <x v="61"/>
  </r>
  <r>
    <x v="70"/>
    <x v="0"/>
    <x v="5"/>
    <x v="55"/>
    <x v="1"/>
    <x v="62"/>
  </r>
  <r>
    <x v="71"/>
    <x v="0"/>
    <x v="4"/>
    <x v="56"/>
    <x v="1"/>
    <x v="63"/>
  </r>
  <r>
    <x v="72"/>
    <x v="0"/>
    <x v="1"/>
    <x v="57"/>
    <x v="1"/>
    <x v="64"/>
  </r>
  <r>
    <x v="73"/>
    <x v="0"/>
    <x v="2"/>
    <x v="24"/>
    <x v="1"/>
    <x v="40"/>
  </r>
  <r>
    <x v="74"/>
    <x v="0"/>
    <x v="1"/>
    <x v="5"/>
    <x v="1"/>
    <x v="65"/>
  </r>
  <r>
    <x v="75"/>
    <x v="0"/>
    <x v="7"/>
    <x v="58"/>
    <x v="1"/>
    <x v="66"/>
  </r>
  <r>
    <x v="76"/>
    <x v="0"/>
    <x v="2"/>
    <x v="59"/>
    <x v="1"/>
    <x v="56"/>
  </r>
  <r>
    <x v="77"/>
    <x v="0"/>
    <x v="4"/>
    <x v="60"/>
    <x v="1"/>
    <x v="17"/>
  </r>
  <r>
    <x v="77"/>
    <x v="0"/>
    <x v="1"/>
    <x v="61"/>
    <x v="1"/>
    <x v="67"/>
  </r>
  <r>
    <x v="78"/>
    <x v="0"/>
    <x v="6"/>
    <x v="17"/>
    <x v="0"/>
    <x v="27"/>
  </r>
  <r>
    <x v="79"/>
    <x v="0"/>
    <x v="3"/>
    <x v="2"/>
    <x v="1"/>
    <x v="68"/>
  </r>
  <r>
    <x v="80"/>
    <x v="0"/>
    <x v="1"/>
    <x v="62"/>
    <x v="1"/>
    <x v="40"/>
  </r>
  <r>
    <x v="81"/>
    <x v="0"/>
    <x v="4"/>
    <x v="63"/>
    <x v="1"/>
    <x v="69"/>
  </r>
  <r>
    <x v="82"/>
    <x v="0"/>
    <x v="1"/>
    <x v="5"/>
    <x v="1"/>
    <x v="70"/>
  </r>
  <r>
    <x v="83"/>
    <x v="0"/>
    <x v="4"/>
    <x v="64"/>
    <x v="1"/>
    <x v="71"/>
  </r>
  <r>
    <x v="84"/>
    <x v="0"/>
    <x v="2"/>
    <x v="65"/>
    <x v="1"/>
    <x v="2"/>
  </r>
  <r>
    <x v="85"/>
    <x v="0"/>
    <x v="2"/>
    <x v="66"/>
    <x v="1"/>
    <x v="2"/>
  </r>
  <r>
    <x v="86"/>
    <x v="0"/>
    <x v="2"/>
    <x v="67"/>
    <x v="1"/>
    <x v="4"/>
  </r>
  <r>
    <x v="86"/>
    <x v="0"/>
    <x v="1"/>
    <x v="68"/>
    <x v="1"/>
    <x v="72"/>
  </r>
  <r>
    <x v="87"/>
    <x v="0"/>
    <x v="2"/>
    <x v="69"/>
    <x v="1"/>
    <x v="73"/>
  </r>
  <r>
    <x v="88"/>
    <x v="0"/>
    <x v="5"/>
    <x v="70"/>
    <x v="1"/>
    <x v="74"/>
  </r>
  <r>
    <x v="89"/>
    <x v="0"/>
    <x v="6"/>
    <x v="17"/>
    <x v="0"/>
    <x v="27"/>
  </r>
  <r>
    <x v="90"/>
    <x v="0"/>
    <x v="3"/>
    <x v="2"/>
    <x v="1"/>
    <x v="61"/>
  </r>
  <r>
    <x v="91"/>
    <x v="0"/>
    <x v="4"/>
    <x v="71"/>
    <x v="1"/>
    <x v="37"/>
  </r>
  <r>
    <x v="92"/>
    <x v="0"/>
    <x v="4"/>
    <x v="6"/>
    <x v="1"/>
    <x v="75"/>
  </r>
  <r>
    <x v="93"/>
    <x v="0"/>
    <x v="1"/>
    <x v="72"/>
    <x v="1"/>
    <x v="30"/>
  </r>
  <r>
    <x v="94"/>
    <x v="0"/>
    <x v="1"/>
    <x v="73"/>
    <x v="1"/>
    <x v="76"/>
  </r>
  <r>
    <x v="95"/>
    <x v="0"/>
    <x v="1"/>
    <x v="74"/>
    <x v="1"/>
    <x v="17"/>
  </r>
  <r>
    <x v="96"/>
    <x v="0"/>
    <x v="2"/>
    <x v="75"/>
    <x v="0"/>
    <x v="77"/>
  </r>
  <r>
    <x v="97"/>
    <x v="0"/>
    <x v="2"/>
    <x v="76"/>
    <x v="1"/>
    <x v="78"/>
  </r>
  <r>
    <x v="98"/>
    <x v="0"/>
    <x v="4"/>
    <x v="77"/>
    <x v="1"/>
    <x v="79"/>
  </r>
  <r>
    <x v="99"/>
    <x v="0"/>
    <x v="1"/>
    <x v="78"/>
    <x v="1"/>
    <x v="59"/>
  </r>
  <r>
    <x v="100"/>
    <x v="0"/>
    <x v="1"/>
    <x v="79"/>
    <x v="1"/>
    <x v="25"/>
  </r>
  <r>
    <x v="101"/>
    <x v="0"/>
    <x v="1"/>
    <x v="80"/>
    <x v="1"/>
    <x v="80"/>
  </r>
  <r>
    <x v="102"/>
    <x v="0"/>
    <x v="1"/>
    <x v="1"/>
    <x v="1"/>
    <x v="81"/>
  </r>
  <r>
    <x v="103"/>
    <x v="0"/>
    <x v="3"/>
    <x v="2"/>
    <x v="1"/>
    <x v="82"/>
  </r>
  <r>
    <x v="104"/>
    <x v="0"/>
    <x v="6"/>
    <x v="17"/>
    <x v="0"/>
    <x v="27"/>
  </r>
  <r>
    <x v="105"/>
    <x v="0"/>
    <x v="1"/>
    <x v="81"/>
    <x v="1"/>
    <x v="83"/>
  </r>
  <r>
    <x v="106"/>
    <x v="0"/>
    <x v="4"/>
    <x v="82"/>
    <x v="1"/>
    <x v="84"/>
  </r>
  <r>
    <x v="107"/>
    <x v="0"/>
    <x v="2"/>
    <x v="78"/>
    <x v="1"/>
    <x v="17"/>
  </r>
  <r>
    <x v="108"/>
    <x v="0"/>
    <x v="3"/>
    <x v="2"/>
    <x v="1"/>
    <x v="85"/>
  </r>
  <r>
    <x v="109"/>
    <x v="0"/>
    <x v="1"/>
    <x v="33"/>
    <x v="1"/>
    <x v="86"/>
  </r>
  <r>
    <x v="110"/>
    <x v="0"/>
    <x v="5"/>
    <x v="83"/>
    <x v="1"/>
    <x v="10"/>
  </r>
  <r>
    <x v="111"/>
    <x v="0"/>
    <x v="1"/>
    <x v="84"/>
    <x v="1"/>
    <x v="87"/>
  </r>
  <r>
    <x v="112"/>
    <x v="0"/>
    <x v="6"/>
    <x v="17"/>
    <x v="0"/>
    <x v="27"/>
  </r>
  <r>
    <x v="113"/>
    <x v="0"/>
    <x v="2"/>
    <x v="11"/>
    <x v="0"/>
    <x v="56"/>
  </r>
  <r>
    <x v="114"/>
    <x v="0"/>
    <x v="3"/>
    <x v="85"/>
    <x v="1"/>
    <x v="88"/>
  </r>
  <r>
    <x v="115"/>
    <x v="0"/>
    <x v="1"/>
    <x v="86"/>
    <x v="1"/>
    <x v="89"/>
  </r>
  <r>
    <x v="116"/>
    <x v="0"/>
    <x v="2"/>
    <x v="87"/>
    <x v="0"/>
    <x v="90"/>
  </r>
  <r>
    <x v="117"/>
    <x v="0"/>
    <x v="6"/>
    <x v="17"/>
    <x v="0"/>
    <x v="27"/>
  </r>
  <r>
    <x v="118"/>
    <x v="0"/>
    <x v="2"/>
    <x v="0"/>
    <x v="0"/>
    <x v="2"/>
  </r>
  <r>
    <x v="119"/>
    <x v="0"/>
    <x v="2"/>
    <x v="88"/>
    <x v="1"/>
    <x v="37"/>
  </r>
  <r>
    <x v="120"/>
    <x v="0"/>
    <x v="4"/>
    <x v="89"/>
    <x v="1"/>
    <x v="29"/>
  </r>
  <r>
    <x v="121"/>
    <x v="0"/>
    <x v="1"/>
    <x v="90"/>
    <x v="1"/>
    <x v="91"/>
  </r>
  <r>
    <x v="122"/>
    <x v="0"/>
    <x v="1"/>
    <x v="1"/>
    <x v="1"/>
    <x v="73"/>
  </r>
  <r>
    <x v="123"/>
    <x v="0"/>
    <x v="4"/>
    <x v="6"/>
    <x v="1"/>
    <x v="7"/>
  </r>
  <r>
    <x v="124"/>
    <x v="0"/>
    <x v="2"/>
    <x v="91"/>
    <x v="0"/>
    <x v="92"/>
  </r>
  <r>
    <x v="125"/>
    <x v="0"/>
    <x v="3"/>
    <x v="92"/>
    <x v="1"/>
    <x v="93"/>
  </r>
  <r>
    <x v="126"/>
    <x v="0"/>
    <x v="2"/>
    <x v="11"/>
    <x v="0"/>
    <x v="31"/>
  </r>
  <r>
    <x v="127"/>
    <x v="0"/>
    <x v="2"/>
    <x v="93"/>
    <x v="0"/>
    <x v="94"/>
  </r>
  <r>
    <x v="128"/>
    <x v="0"/>
    <x v="1"/>
    <x v="94"/>
    <x v="1"/>
    <x v="56"/>
  </r>
  <r>
    <x v="129"/>
    <x v="0"/>
    <x v="1"/>
    <x v="4"/>
    <x v="1"/>
    <x v="95"/>
  </r>
  <r>
    <x v="130"/>
    <x v="0"/>
    <x v="1"/>
    <x v="95"/>
    <x v="1"/>
    <x v="73"/>
  </r>
  <r>
    <x v="131"/>
    <x v="0"/>
    <x v="1"/>
    <x v="5"/>
    <x v="1"/>
    <x v="96"/>
  </r>
  <r>
    <x v="132"/>
    <x v="0"/>
    <x v="6"/>
    <x v="17"/>
    <x v="0"/>
    <x v="27"/>
  </r>
  <r>
    <x v="133"/>
    <x v="0"/>
    <x v="4"/>
    <x v="25"/>
    <x v="1"/>
    <x v="97"/>
  </r>
  <r>
    <x v="134"/>
    <x v="0"/>
    <x v="2"/>
    <x v="24"/>
    <x v="1"/>
    <x v="56"/>
  </r>
  <r>
    <x v="135"/>
    <x v="0"/>
    <x v="1"/>
    <x v="96"/>
    <x v="1"/>
    <x v="65"/>
  </r>
  <r>
    <x v="136"/>
    <x v="0"/>
    <x v="6"/>
    <x v="17"/>
    <x v="0"/>
    <x v="98"/>
  </r>
  <r>
    <x v="137"/>
    <x v="0"/>
    <x v="2"/>
    <x v="50"/>
    <x v="0"/>
    <x v="58"/>
  </r>
  <r>
    <x v="138"/>
    <x v="0"/>
    <x v="3"/>
    <x v="92"/>
    <x v="1"/>
    <x v="93"/>
  </r>
  <r>
    <x v="139"/>
    <x v="0"/>
    <x v="1"/>
    <x v="34"/>
    <x v="1"/>
    <x v="99"/>
  </r>
  <r>
    <x v="140"/>
    <x v="0"/>
    <x v="1"/>
    <x v="97"/>
    <x v="1"/>
    <x v="40"/>
  </r>
  <r>
    <x v="141"/>
    <x v="0"/>
    <x v="1"/>
    <x v="98"/>
    <x v="1"/>
    <x v="100"/>
  </r>
  <r>
    <x v="142"/>
    <x v="0"/>
    <x v="2"/>
    <x v="78"/>
    <x v="1"/>
    <x v="101"/>
  </r>
  <r>
    <x v="143"/>
    <x v="0"/>
    <x v="2"/>
    <x v="99"/>
    <x v="0"/>
    <x v="73"/>
  </r>
  <r>
    <x v="144"/>
    <x v="0"/>
    <x v="2"/>
    <x v="47"/>
    <x v="0"/>
    <x v="102"/>
  </r>
  <r>
    <x v="144"/>
    <x v="0"/>
    <x v="4"/>
    <x v="100"/>
    <x v="1"/>
    <x v="103"/>
  </r>
  <r>
    <x v="145"/>
    <x v="0"/>
    <x v="4"/>
    <x v="101"/>
    <x v="1"/>
    <x v="104"/>
  </r>
  <r>
    <x v="146"/>
    <x v="0"/>
    <x v="1"/>
    <x v="102"/>
    <x v="1"/>
    <x v="105"/>
  </r>
  <r>
    <x v="147"/>
    <x v="0"/>
    <x v="3"/>
    <x v="92"/>
    <x v="1"/>
    <x v="106"/>
  </r>
  <r>
    <x v="148"/>
    <x v="0"/>
    <x v="1"/>
    <x v="103"/>
    <x v="1"/>
    <x v="107"/>
  </r>
  <r>
    <x v="149"/>
    <x v="0"/>
    <x v="2"/>
    <x v="0"/>
    <x v="0"/>
    <x v="79"/>
  </r>
  <r>
    <x v="150"/>
    <x v="0"/>
    <x v="1"/>
    <x v="104"/>
    <x v="1"/>
    <x v="108"/>
  </r>
  <r>
    <x v="150"/>
    <x v="0"/>
    <x v="2"/>
    <x v="87"/>
    <x v="0"/>
    <x v="9"/>
  </r>
  <r>
    <x v="151"/>
    <x v="0"/>
    <x v="6"/>
    <x v="17"/>
    <x v="0"/>
    <x v="109"/>
  </r>
  <r>
    <x v="152"/>
    <x v="0"/>
    <x v="2"/>
    <x v="105"/>
    <x v="0"/>
    <x v="11"/>
  </r>
  <r>
    <x v="153"/>
    <x v="0"/>
    <x v="2"/>
    <x v="0"/>
    <x v="0"/>
    <x v="79"/>
  </r>
  <r>
    <x v="154"/>
    <x v="0"/>
    <x v="4"/>
    <x v="106"/>
    <x v="1"/>
    <x v="110"/>
  </r>
  <r>
    <x v="155"/>
    <x v="0"/>
    <x v="1"/>
    <x v="107"/>
    <x v="1"/>
    <x v="111"/>
  </r>
  <r>
    <x v="156"/>
    <x v="0"/>
    <x v="1"/>
    <x v="107"/>
    <x v="1"/>
    <x v="33"/>
  </r>
  <r>
    <x v="157"/>
    <x v="0"/>
    <x v="1"/>
    <x v="108"/>
    <x v="1"/>
    <x v="112"/>
  </r>
  <r>
    <x v="158"/>
    <x v="0"/>
    <x v="1"/>
    <x v="109"/>
    <x v="1"/>
    <x v="113"/>
  </r>
  <r>
    <x v="159"/>
    <x v="0"/>
    <x v="1"/>
    <x v="110"/>
    <x v="1"/>
    <x v="73"/>
  </r>
  <r>
    <x v="160"/>
    <x v="0"/>
    <x v="1"/>
    <x v="97"/>
    <x v="1"/>
    <x v="73"/>
  </r>
  <r>
    <x v="161"/>
    <x v="0"/>
    <x v="1"/>
    <x v="5"/>
    <x v="1"/>
    <x v="73"/>
  </r>
  <r>
    <x v="161"/>
    <x v="0"/>
    <x v="1"/>
    <x v="4"/>
    <x v="1"/>
    <x v="37"/>
  </r>
  <r>
    <x v="162"/>
    <x v="0"/>
    <x v="4"/>
    <x v="6"/>
    <x v="1"/>
    <x v="114"/>
  </r>
  <r>
    <x v="163"/>
    <x v="0"/>
    <x v="1"/>
    <x v="110"/>
    <x v="1"/>
    <x v="11"/>
  </r>
  <r>
    <x v="164"/>
    <x v="0"/>
    <x v="1"/>
    <x v="5"/>
    <x v="1"/>
    <x v="115"/>
  </r>
  <r>
    <x v="165"/>
    <x v="0"/>
    <x v="5"/>
    <x v="111"/>
    <x v="1"/>
    <x v="26"/>
  </r>
  <r>
    <x v="166"/>
    <x v="0"/>
    <x v="1"/>
    <x v="46"/>
    <x v="1"/>
    <x v="116"/>
  </r>
  <r>
    <x v="166"/>
    <x v="0"/>
    <x v="2"/>
    <x v="112"/>
    <x v="0"/>
    <x v="17"/>
  </r>
  <r>
    <x v="167"/>
    <x v="0"/>
    <x v="2"/>
    <x v="113"/>
    <x v="1"/>
    <x v="117"/>
  </r>
  <r>
    <x v="168"/>
    <x v="0"/>
    <x v="2"/>
    <x v="0"/>
    <x v="0"/>
    <x v="101"/>
  </r>
  <r>
    <x v="169"/>
    <x v="0"/>
    <x v="1"/>
    <x v="33"/>
    <x v="1"/>
    <x v="40"/>
  </r>
  <r>
    <x v="170"/>
    <x v="0"/>
    <x v="3"/>
    <x v="114"/>
    <x v="1"/>
    <x v="118"/>
  </r>
  <r>
    <x v="171"/>
    <x v="0"/>
    <x v="1"/>
    <x v="98"/>
    <x v="1"/>
    <x v="24"/>
  </r>
  <r>
    <x v="172"/>
    <x v="0"/>
    <x v="1"/>
    <x v="98"/>
    <x v="1"/>
    <x v="119"/>
  </r>
  <r>
    <x v="173"/>
    <x v="0"/>
    <x v="1"/>
    <x v="1"/>
    <x v="1"/>
    <x v="120"/>
  </r>
  <r>
    <x v="174"/>
    <x v="0"/>
    <x v="1"/>
    <x v="33"/>
    <x v="1"/>
    <x v="121"/>
  </r>
  <r>
    <x v="175"/>
    <x v="0"/>
    <x v="1"/>
    <x v="33"/>
    <x v="1"/>
    <x v="4"/>
  </r>
  <r>
    <x v="176"/>
    <x v="0"/>
    <x v="1"/>
    <x v="97"/>
    <x v="1"/>
    <x v="102"/>
  </r>
  <r>
    <x v="177"/>
    <x v="0"/>
    <x v="1"/>
    <x v="115"/>
    <x v="1"/>
    <x v="56"/>
  </r>
  <r>
    <x v="178"/>
    <x v="0"/>
    <x v="1"/>
    <x v="5"/>
    <x v="1"/>
    <x v="100"/>
  </r>
  <r>
    <x v="179"/>
    <x v="0"/>
    <x v="1"/>
    <x v="98"/>
    <x v="1"/>
    <x v="122"/>
  </r>
  <r>
    <x v="180"/>
    <x v="0"/>
    <x v="1"/>
    <x v="33"/>
    <x v="1"/>
    <x v="123"/>
  </r>
  <r>
    <x v="181"/>
    <x v="0"/>
    <x v="2"/>
    <x v="116"/>
    <x v="0"/>
    <x v="121"/>
  </r>
  <r>
    <x v="182"/>
    <x v="0"/>
    <x v="1"/>
    <x v="117"/>
    <x v="1"/>
    <x v="124"/>
  </r>
  <r>
    <x v="182"/>
    <x v="0"/>
    <x v="0"/>
    <x v="0"/>
    <x v="0"/>
    <x v="125"/>
  </r>
  <r>
    <x v="183"/>
    <x v="0"/>
    <x v="2"/>
    <x v="118"/>
    <x v="1"/>
    <x v="17"/>
  </r>
  <r>
    <x v="184"/>
    <x v="0"/>
    <x v="2"/>
    <x v="119"/>
    <x v="1"/>
    <x v="101"/>
  </r>
  <r>
    <x v="185"/>
    <x v="0"/>
    <x v="1"/>
    <x v="98"/>
    <x v="1"/>
    <x v="73"/>
  </r>
  <r>
    <x v="186"/>
    <x v="0"/>
    <x v="1"/>
    <x v="120"/>
    <x v="1"/>
    <x v="1"/>
  </r>
  <r>
    <x v="187"/>
    <x v="0"/>
    <x v="1"/>
    <x v="121"/>
    <x v="1"/>
    <x v="102"/>
  </r>
  <r>
    <x v="188"/>
    <x v="0"/>
    <x v="1"/>
    <x v="1"/>
    <x v="1"/>
    <x v="102"/>
  </r>
  <r>
    <x v="189"/>
    <x v="0"/>
    <x v="4"/>
    <x v="122"/>
    <x v="1"/>
    <x v="126"/>
  </r>
  <r>
    <x v="190"/>
    <x v="0"/>
    <x v="1"/>
    <x v="98"/>
    <x v="1"/>
    <x v="40"/>
  </r>
  <r>
    <x v="191"/>
    <x v="0"/>
    <x v="1"/>
    <x v="123"/>
    <x v="1"/>
    <x v="23"/>
  </r>
  <r>
    <x v="192"/>
    <x v="0"/>
    <x v="1"/>
    <x v="124"/>
    <x v="1"/>
    <x v="24"/>
  </r>
  <r>
    <x v="193"/>
    <x v="0"/>
    <x v="1"/>
    <x v="26"/>
    <x v="1"/>
    <x v="127"/>
  </r>
  <r>
    <x v="194"/>
    <x v="0"/>
    <x v="1"/>
    <x v="125"/>
    <x v="1"/>
    <x v="128"/>
  </r>
  <r>
    <x v="195"/>
    <x v="0"/>
    <x v="1"/>
    <x v="126"/>
    <x v="1"/>
    <x v="129"/>
  </r>
  <r>
    <x v="196"/>
    <x v="0"/>
    <x v="1"/>
    <x v="5"/>
    <x v="1"/>
    <x v="130"/>
  </r>
  <r>
    <x v="197"/>
    <x v="0"/>
    <x v="1"/>
    <x v="98"/>
    <x v="1"/>
    <x v="73"/>
  </r>
  <r>
    <x v="198"/>
    <x v="0"/>
    <x v="1"/>
    <x v="121"/>
    <x v="1"/>
    <x v="4"/>
  </r>
  <r>
    <x v="199"/>
    <x v="0"/>
    <x v="1"/>
    <x v="127"/>
    <x v="1"/>
    <x v="56"/>
  </r>
  <r>
    <x v="200"/>
    <x v="0"/>
    <x v="5"/>
    <x v="128"/>
    <x v="1"/>
    <x v="121"/>
  </r>
  <r>
    <x v="201"/>
    <x v="0"/>
    <x v="1"/>
    <x v="26"/>
    <x v="1"/>
    <x v="131"/>
  </r>
  <r>
    <x v="202"/>
    <x v="0"/>
    <x v="1"/>
    <x v="129"/>
    <x v="1"/>
    <x v="37"/>
  </r>
  <r>
    <x v="203"/>
    <x v="0"/>
    <x v="2"/>
    <x v="11"/>
    <x v="0"/>
    <x v="40"/>
  </r>
  <r>
    <x v="204"/>
    <x v="0"/>
    <x v="1"/>
    <x v="120"/>
    <x v="1"/>
    <x v="26"/>
  </r>
  <r>
    <x v="205"/>
    <x v="0"/>
    <x v="1"/>
    <x v="130"/>
    <x v="1"/>
    <x v="132"/>
  </r>
  <r>
    <x v="206"/>
    <x v="0"/>
    <x v="1"/>
    <x v="121"/>
    <x v="1"/>
    <x v="102"/>
  </r>
  <r>
    <x v="207"/>
    <x v="0"/>
    <x v="2"/>
    <x v="91"/>
    <x v="0"/>
    <x v="45"/>
  </r>
  <r>
    <x v="208"/>
    <x v="0"/>
    <x v="1"/>
    <x v="131"/>
    <x v="1"/>
    <x v="24"/>
  </r>
  <r>
    <x v="209"/>
    <x v="0"/>
    <x v="6"/>
    <x v="17"/>
    <x v="0"/>
    <x v="133"/>
  </r>
  <r>
    <x v="210"/>
    <x v="0"/>
    <x v="4"/>
    <x v="132"/>
    <x v="1"/>
    <x v="7"/>
  </r>
  <r>
    <x v="211"/>
    <x v="0"/>
    <x v="1"/>
    <x v="133"/>
    <x v="1"/>
    <x v="1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5">
  <r>
    <x v="0"/>
    <s v="CUB - online payment"/>
    <x v="0"/>
    <x v="0"/>
    <x v="0"/>
    <n v="8000"/>
    <n v="8000"/>
    <n v="0"/>
  </r>
  <r>
    <x v="1"/>
    <s v="CUB - online payment"/>
    <x v="1"/>
    <x v="1"/>
    <x v="1"/>
    <n v="85"/>
    <n v="0"/>
    <n v="85"/>
  </r>
  <r>
    <x v="2"/>
    <s v="CUB - online payment"/>
    <x v="2"/>
    <x v="0"/>
    <x v="0"/>
    <n v="500"/>
    <n v="500"/>
    <n v="0"/>
  </r>
  <r>
    <x v="3"/>
    <s v="CUB - online payment"/>
    <x v="3"/>
    <x v="2"/>
    <x v="1"/>
    <n v="6667"/>
    <n v="0"/>
    <n v="6667"/>
  </r>
  <r>
    <x v="4"/>
    <s v="CUB - online payment"/>
    <x v="4"/>
    <x v="3"/>
    <x v="1"/>
    <n v="30"/>
    <n v="0"/>
    <n v="30"/>
  </r>
  <r>
    <x v="5"/>
    <s v="CUB - online payment"/>
    <x v="1"/>
    <x v="4"/>
    <x v="1"/>
    <n v="78"/>
    <n v="0"/>
    <n v="78"/>
  </r>
  <r>
    <x v="6"/>
    <s v="CUB - online payment"/>
    <x v="1"/>
    <x v="5"/>
    <x v="1"/>
    <n v="1460"/>
    <n v="0"/>
    <n v="1460"/>
  </r>
  <r>
    <x v="7"/>
    <s v="CUB - online payment"/>
    <x v="4"/>
    <x v="6"/>
    <x v="1"/>
    <n v="43"/>
    <n v="0"/>
    <n v="43"/>
  </r>
  <r>
    <x v="8"/>
    <s v="CUB - online payment"/>
    <x v="1"/>
    <x v="4"/>
    <x v="1"/>
    <n v="66"/>
    <n v="0"/>
    <n v="66"/>
  </r>
  <r>
    <x v="9"/>
    <s v="CUB - online payment"/>
    <x v="2"/>
    <x v="7"/>
    <x v="0"/>
    <n v="340"/>
    <n v="340"/>
    <n v="0"/>
  </r>
  <r>
    <x v="10"/>
    <s v="CUB - online payment"/>
    <x v="2"/>
    <x v="0"/>
    <x v="0"/>
    <n v="1500"/>
    <n v="1500"/>
    <n v="0"/>
  </r>
  <r>
    <x v="10"/>
    <s v="CUB - online payment"/>
    <x v="1"/>
    <x v="1"/>
    <x v="1"/>
    <n v="70"/>
    <n v="0"/>
    <n v="70"/>
  </r>
  <r>
    <x v="11"/>
    <s v="CUB - online payment"/>
    <x v="1"/>
    <x v="8"/>
    <x v="1"/>
    <n v="1100"/>
    <n v="0"/>
    <n v="1100"/>
  </r>
  <r>
    <x v="12"/>
    <s v="CUB - online payment"/>
    <x v="1"/>
    <x v="5"/>
    <x v="1"/>
    <n v="148"/>
    <n v="0"/>
    <n v="148"/>
  </r>
  <r>
    <x v="13"/>
    <s v="CUB - online payment"/>
    <x v="1"/>
    <x v="9"/>
    <x v="1"/>
    <n v="59"/>
    <n v="0"/>
    <n v="59"/>
  </r>
  <r>
    <x v="14"/>
    <s v="CUB - online payment"/>
    <x v="1"/>
    <x v="4"/>
    <x v="1"/>
    <n v="301.14999999999998"/>
    <n v="0"/>
    <n v="301.14999999999998"/>
  </r>
  <r>
    <x v="15"/>
    <s v="CUB - online payment"/>
    <x v="1"/>
    <x v="10"/>
    <x v="1"/>
    <n v="171"/>
    <n v="0"/>
    <n v="171"/>
  </r>
  <r>
    <x v="16"/>
    <s v="CUB - online payment"/>
    <x v="2"/>
    <x v="11"/>
    <x v="0"/>
    <n v="200"/>
    <n v="200"/>
    <n v="0"/>
  </r>
  <r>
    <x v="16"/>
    <s v="CUB - online payment"/>
    <x v="1"/>
    <x v="1"/>
    <x v="1"/>
    <n v="37"/>
    <n v="0"/>
    <n v="37"/>
  </r>
  <r>
    <x v="17"/>
    <s v="CUB - online payment"/>
    <x v="1"/>
    <x v="5"/>
    <x v="1"/>
    <n v="188"/>
    <n v="0"/>
    <n v="188"/>
  </r>
  <r>
    <x v="18"/>
    <s v="CUB - online payment"/>
    <x v="2"/>
    <x v="0"/>
    <x v="0"/>
    <n v="2000"/>
    <n v="2000"/>
    <n v="0"/>
  </r>
  <r>
    <x v="18"/>
    <s v="CUB - online payment"/>
    <x v="1"/>
    <x v="12"/>
    <x v="1"/>
    <n v="176"/>
    <n v="0"/>
    <n v="176"/>
  </r>
  <r>
    <x v="18"/>
    <s v="CUB - online payment"/>
    <x v="5"/>
    <x v="13"/>
    <x v="1"/>
    <n v="200"/>
    <n v="0"/>
    <n v="200"/>
  </r>
  <r>
    <x v="19"/>
    <s v="CUB - online payment"/>
    <x v="2"/>
    <x v="11"/>
    <x v="0"/>
    <n v="310"/>
    <n v="310"/>
    <n v="0"/>
  </r>
  <r>
    <x v="20"/>
    <s v="CUB - online payment"/>
    <x v="1"/>
    <x v="14"/>
    <x v="1"/>
    <n v="18"/>
    <n v="0"/>
    <n v="18"/>
  </r>
  <r>
    <x v="21"/>
    <s v="CUB - online payment"/>
    <x v="1"/>
    <x v="15"/>
    <x v="1"/>
    <n v="25"/>
    <n v="0"/>
    <n v="25"/>
  </r>
  <r>
    <x v="22"/>
    <s v="CUB - online payment"/>
    <x v="2"/>
    <x v="16"/>
    <x v="0"/>
    <n v="125"/>
    <n v="125"/>
    <n v="0"/>
  </r>
  <r>
    <x v="22"/>
    <s v="CUB - online payment"/>
    <x v="1"/>
    <x v="1"/>
    <x v="1"/>
    <n v="115"/>
    <n v="0"/>
    <n v="115"/>
  </r>
  <r>
    <x v="23"/>
    <s v="CUB - online payment"/>
    <x v="6"/>
    <x v="17"/>
    <x v="0"/>
    <n v="55000"/>
    <n v="55000"/>
    <n v="0"/>
  </r>
  <r>
    <x v="24"/>
    <s v="CUB - online payment"/>
    <x v="1"/>
    <x v="18"/>
    <x v="1"/>
    <n v="279"/>
    <n v="0"/>
    <n v="279"/>
  </r>
  <r>
    <x v="25"/>
    <s v="CUB - online payment"/>
    <x v="2"/>
    <x v="19"/>
    <x v="1"/>
    <n v="1100"/>
    <n v="0"/>
    <n v="1100"/>
  </r>
  <r>
    <x v="26"/>
    <s v="CUB - online payment"/>
    <x v="1"/>
    <x v="5"/>
    <x v="1"/>
    <n v="138"/>
    <n v="0"/>
    <n v="138"/>
  </r>
  <r>
    <x v="27"/>
    <s v="CUB - online payment"/>
    <x v="1"/>
    <x v="20"/>
    <x v="1"/>
    <n v="10"/>
    <n v="0"/>
    <n v="10"/>
  </r>
  <r>
    <x v="28"/>
    <s v="CUB - online payment"/>
    <x v="2"/>
    <x v="21"/>
    <x v="1"/>
    <n v="100"/>
    <n v="0"/>
    <n v="100"/>
  </r>
  <r>
    <x v="29"/>
    <s v="CUB - online payment"/>
    <x v="1"/>
    <x v="22"/>
    <x v="1"/>
    <n v="105"/>
    <n v="0"/>
    <n v="105"/>
  </r>
  <r>
    <x v="30"/>
    <s v="CUB - online payment"/>
    <x v="1"/>
    <x v="23"/>
    <x v="1"/>
    <n v="120"/>
    <n v="0"/>
    <n v="120"/>
  </r>
  <r>
    <x v="31"/>
    <s v="CUB - online payment"/>
    <x v="1"/>
    <x v="4"/>
    <x v="1"/>
    <n v="155"/>
    <n v="0"/>
    <n v="155"/>
  </r>
  <r>
    <x v="32"/>
    <s v="CUB - online payment"/>
    <x v="2"/>
    <x v="24"/>
    <x v="1"/>
    <n v="200"/>
    <n v="0"/>
    <n v="200"/>
  </r>
  <r>
    <x v="33"/>
    <s v="CUB - online payment"/>
    <x v="4"/>
    <x v="25"/>
    <x v="1"/>
    <n v="725"/>
    <n v="0"/>
    <n v="725"/>
  </r>
  <r>
    <x v="34"/>
    <s v="CUB - online payment"/>
    <x v="1"/>
    <x v="26"/>
    <x v="1"/>
    <n v="200"/>
    <n v="0"/>
    <n v="200"/>
  </r>
  <r>
    <x v="35"/>
    <s v="CUB - online payment"/>
    <x v="2"/>
    <x v="27"/>
    <x v="1"/>
    <n v="8"/>
    <n v="0"/>
    <n v="8"/>
  </r>
  <r>
    <x v="36"/>
    <s v="CUB - online payment"/>
    <x v="1"/>
    <x v="28"/>
    <x v="1"/>
    <n v="120"/>
    <n v="0"/>
    <n v="120"/>
  </r>
  <r>
    <x v="37"/>
    <s v="CUB - online payment"/>
    <x v="1"/>
    <x v="29"/>
    <x v="1"/>
    <n v="50"/>
    <n v="0"/>
    <n v="50"/>
  </r>
  <r>
    <x v="38"/>
    <s v="CUB - online payment"/>
    <x v="5"/>
    <x v="30"/>
    <x v="1"/>
    <n v="100"/>
    <n v="0"/>
    <n v="100"/>
  </r>
  <r>
    <x v="39"/>
    <s v="CUB - online payment"/>
    <x v="1"/>
    <x v="31"/>
    <x v="1"/>
    <n v="475"/>
    <n v="0"/>
    <n v="475"/>
  </r>
  <r>
    <x v="39"/>
    <s v="CUB - online payment"/>
    <x v="1"/>
    <x v="32"/>
    <x v="1"/>
    <n v="165"/>
    <n v="0"/>
    <n v="165"/>
  </r>
  <r>
    <x v="40"/>
    <s v="CUB - online payment"/>
    <x v="1"/>
    <x v="33"/>
    <x v="1"/>
    <n v="80"/>
    <n v="0"/>
    <n v="80"/>
  </r>
  <r>
    <x v="41"/>
    <s v="CUB - online payment"/>
    <x v="1"/>
    <x v="34"/>
    <x v="1"/>
    <n v="348"/>
    <n v="0"/>
    <n v="348"/>
  </r>
  <r>
    <x v="42"/>
    <s v="CUB - online payment"/>
    <x v="4"/>
    <x v="35"/>
    <x v="1"/>
    <n v="2709"/>
    <n v="0"/>
    <n v="2709"/>
  </r>
  <r>
    <x v="43"/>
    <s v="CUB - online payment"/>
    <x v="2"/>
    <x v="36"/>
    <x v="1"/>
    <n v="50"/>
    <n v="0"/>
    <n v="50"/>
  </r>
  <r>
    <x v="44"/>
    <s v="CUB - online payment"/>
    <x v="4"/>
    <x v="3"/>
    <x v="1"/>
    <n v="60"/>
    <n v="0"/>
    <n v="60"/>
  </r>
  <r>
    <x v="45"/>
    <s v="CUB - online payment"/>
    <x v="4"/>
    <x v="37"/>
    <x v="1"/>
    <n v="1575"/>
    <n v="0"/>
    <n v="1575"/>
  </r>
  <r>
    <x v="46"/>
    <s v="CUB - online payment"/>
    <x v="1"/>
    <x v="1"/>
    <x v="1"/>
    <n v="250"/>
    <n v="0"/>
    <n v="250"/>
  </r>
  <r>
    <x v="47"/>
    <s v="CUB - online payment"/>
    <x v="1"/>
    <x v="38"/>
    <x v="1"/>
    <n v="111"/>
    <n v="0"/>
    <n v="111"/>
  </r>
  <r>
    <x v="48"/>
    <s v="CUB - online payment"/>
    <x v="1"/>
    <x v="33"/>
    <x v="1"/>
    <n v="200"/>
    <n v="0"/>
    <n v="200"/>
  </r>
  <r>
    <x v="49"/>
    <s v="CUB - online payment"/>
    <x v="4"/>
    <x v="39"/>
    <x v="1"/>
    <n v="201.8"/>
    <n v="0"/>
    <n v="201.8"/>
  </r>
  <r>
    <x v="50"/>
    <s v="CUB - online payment"/>
    <x v="3"/>
    <x v="2"/>
    <x v="1"/>
    <n v="3336"/>
    <n v="0"/>
    <n v="3336"/>
  </r>
  <r>
    <x v="51"/>
    <s v="CUB - online payment"/>
    <x v="4"/>
    <x v="40"/>
    <x v="1"/>
    <n v="1300"/>
    <n v="0"/>
    <n v="1300"/>
  </r>
  <r>
    <x v="52"/>
    <s v="CUB - online payment"/>
    <x v="1"/>
    <x v="41"/>
    <x v="1"/>
    <n v="83"/>
    <n v="0"/>
    <n v="83"/>
  </r>
  <r>
    <x v="53"/>
    <s v="CUB - online payment"/>
    <x v="5"/>
    <x v="42"/>
    <x v="1"/>
    <n v="3999"/>
    <n v="0"/>
    <n v="3999"/>
  </r>
  <r>
    <x v="54"/>
    <s v="CUB - online payment"/>
    <x v="1"/>
    <x v="43"/>
    <x v="1"/>
    <n v="289"/>
    <n v="0"/>
    <n v="289"/>
  </r>
  <r>
    <x v="55"/>
    <s v="CUB - online payment"/>
    <x v="1"/>
    <x v="44"/>
    <x v="1"/>
    <n v="84"/>
    <n v="0"/>
    <n v="84"/>
  </r>
  <r>
    <x v="56"/>
    <s v="CUB - online payment"/>
    <x v="2"/>
    <x v="45"/>
    <x v="1"/>
    <n v="100"/>
    <n v="0"/>
    <n v="100"/>
  </r>
  <r>
    <x v="57"/>
    <s v="CUB - online payment"/>
    <x v="1"/>
    <x v="33"/>
    <x v="1"/>
    <n v="243"/>
    <n v="0"/>
    <n v="243"/>
  </r>
  <r>
    <x v="58"/>
    <s v="CUB - online payment"/>
    <x v="6"/>
    <x v="17"/>
    <x v="0"/>
    <n v="55000"/>
    <n v="55000"/>
    <n v="0"/>
  </r>
  <r>
    <x v="59"/>
    <s v="CUB - online payment"/>
    <x v="1"/>
    <x v="46"/>
    <x v="1"/>
    <n v="339.15"/>
    <n v="0"/>
    <n v="339.15"/>
  </r>
  <r>
    <x v="60"/>
    <s v="CUB - online payment"/>
    <x v="2"/>
    <x v="47"/>
    <x v="0"/>
    <n v="300"/>
    <n v="300"/>
    <n v="0"/>
  </r>
  <r>
    <x v="61"/>
    <s v="CUB - online payment"/>
    <x v="1"/>
    <x v="48"/>
    <x v="1"/>
    <n v="300"/>
    <n v="0"/>
    <n v="300"/>
  </r>
  <r>
    <x v="62"/>
    <s v="CUB - online payment"/>
    <x v="2"/>
    <x v="49"/>
    <x v="0"/>
    <n v="1140"/>
    <n v="1140"/>
    <n v="0"/>
  </r>
  <r>
    <x v="63"/>
    <s v="CUB - online payment"/>
    <x v="2"/>
    <x v="50"/>
    <x v="0"/>
    <n v="201"/>
    <n v="201"/>
    <n v="0"/>
  </r>
  <r>
    <x v="64"/>
    <s v="CUB - online payment"/>
    <x v="1"/>
    <x v="51"/>
    <x v="1"/>
    <n v="10"/>
    <n v="0"/>
    <n v="10"/>
  </r>
  <r>
    <x v="65"/>
    <s v="CUB - online payment"/>
    <x v="2"/>
    <x v="52"/>
    <x v="1"/>
    <n v="150"/>
    <n v="0"/>
    <n v="150"/>
  </r>
  <r>
    <x v="66"/>
    <s v="CUB - online payment"/>
    <x v="1"/>
    <x v="53"/>
    <x v="1"/>
    <n v="50"/>
    <n v="0"/>
    <n v="50"/>
  </r>
  <r>
    <x v="67"/>
    <s v="CUB - online payment"/>
    <x v="4"/>
    <x v="54"/>
    <x v="1"/>
    <n v="1365"/>
    <n v="0"/>
    <n v="1365"/>
  </r>
  <r>
    <x v="68"/>
    <s v="CUB - online payment"/>
    <x v="6"/>
    <x v="17"/>
    <x v="0"/>
    <n v="55000"/>
    <n v="55000"/>
    <n v="0"/>
  </r>
  <r>
    <x v="69"/>
    <s v="CUB - online payment"/>
    <x v="3"/>
    <x v="2"/>
    <x v="1"/>
    <n v="5120"/>
    <n v="0"/>
    <n v="5120"/>
  </r>
  <r>
    <x v="70"/>
    <s v="CUB - online payment"/>
    <x v="5"/>
    <x v="55"/>
    <x v="1"/>
    <n v="3997"/>
    <n v="0"/>
    <n v="3997"/>
  </r>
  <r>
    <x v="71"/>
    <s v="CUB - online payment"/>
    <x v="4"/>
    <x v="56"/>
    <x v="1"/>
    <n v="153"/>
    <n v="0"/>
    <n v="153"/>
  </r>
  <r>
    <x v="72"/>
    <s v="CUB - online payment"/>
    <x v="1"/>
    <x v="57"/>
    <x v="1"/>
    <n v="107"/>
    <n v="0"/>
    <n v="107"/>
  </r>
  <r>
    <x v="73"/>
    <s v="CUB - online payment"/>
    <x v="2"/>
    <x v="24"/>
    <x v="1"/>
    <n v="80"/>
    <n v="0"/>
    <n v="80"/>
  </r>
  <r>
    <x v="74"/>
    <s v="CUB - online payment"/>
    <x v="1"/>
    <x v="5"/>
    <x v="1"/>
    <n v="106"/>
    <n v="0"/>
    <n v="106"/>
  </r>
  <r>
    <x v="75"/>
    <s v="CUB - online payment"/>
    <x v="7"/>
    <x v="58"/>
    <x v="1"/>
    <n v="14000"/>
    <n v="0"/>
    <n v="14000"/>
  </r>
  <r>
    <x v="76"/>
    <s v="CUB - online payment"/>
    <x v="2"/>
    <x v="59"/>
    <x v="1"/>
    <n v="300"/>
    <n v="0"/>
    <n v="300"/>
  </r>
  <r>
    <x v="77"/>
    <s v="CUB - online payment"/>
    <x v="4"/>
    <x v="60"/>
    <x v="1"/>
    <n v="200"/>
    <n v="0"/>
    <n v="200"/>
  </r>
  <r>
    <x v="77"/>
    <s v="CUB - online payment"/>
    <x v="1"/>
    <x v="61"/>
    <x v="1"/>
    <n v="380"/>
    <n v="0"/>
    <n v="380"/>
  </r>
  <r>
    <x v="78"/>
    <s v="CUB - online payment"/>
    <x v="6"/>
    <x v="17"/>
    <x v="0"/>
    <n v="55000"/>
    <n v="55000"/>
    <n v="0"/>
  </r>
  <r>
    <x v="79"/>
    <s v="CUB - online payment"/>
    <x v="3"/>
    <x v="2"/>
    <x v="1"/>
    <n v="5180"/>
    <n v="0"/>
    <n v="5180"/>
  </r>
  <r>
    <x v="80"/>
    <s v="CUB - online payment"/>
    <x v="1"/>
    <x v="62"/>
    <x v="1"/>
    <n v="80"/>
    <n v="0"/>
    <n v="80"/>
  </r>
  <r>
    <x v="81"/>
    <s v="CUB - online payment"/>
    <x v="4"/>
    <x v="63"/>
    <x v="1"/>
    <n v="306"/>
    <n v="0"/>
    <n v="306"/>
  </r>
  <r>
    <x v="82"/>
    <s v="CUB - online payment"/>
    <x v="1"/>
    <x v="5"/>
    <x v="1"/>
    <n v="388"/>
    <n v="0"/>
    <n v="388"/>
  </r>
  <r>
    <x v="83"/>
    <s v="CUB - online payment"/>
    <x v="4"/>
    <x v="64"/>
    <x v="1"/>
    <n v="600"/>
    <n v="0"/>
    <n v="600"/>
  </r>
  <r>
    <x v="84"/>
    <s v="CUB - online payment"/>
    <x v="2"/>
    <x v="65"/>
    <x v="1"/>
    <n v="500"/>
    <n v="0"/>
    <n v="500"/>
  </r>
  <r>
    <x v="85"/>
    <s v="CUB - online payment"/>
    <x v="2"/>
    <x v="66"/>
    <x v="1"/>
    <n v="500"/>
    <n v="0"/>
    <n v="500"/>
  </r>
  <r>
    <x v="86"/>
    <s v="CUB - online payment"/>
    <x v="2"/>
    <x v="67"/>
    <x v="1"/>
    <n v="30"/>
    <n v="0"/>
    <n v="30"/>
  </r>
  <r>
    <x v="86"/>
    <s v="CUB - online payment"/>
    <x v="1"/>
    <x v="68"/>
    <x v="1"/>
    <n v="354"/>
    <n v="0"/>
    <n v="354"/>
  </r>
  <r>
    <x v="87"/>
    <s v="CUB - online payment"/>
    <x v="2"/>
    <x v="69"/>
    <x v="1"/>
    <n v="40"/>
    <n v="0"/>
    <n v="40"/>
  </r>
  <r>
    <x v="88"/>
    <s v="CUB - online payment"/>
    <x v="5"/>
    <x v="70"/>
    <x v="1"/>
    <n v="1363.72"/>
    <n v="0"/>
    <n v="1363.72"/>
  </r>
  <r>
    <x v="89"/>
    <s v="CUB - online payment"/>
    <x v="6"/>
    <x v="17"/>
    <x v="0"/>
    <n v="55000"/>
    <n v="55000"/>
    <n v="0"/>
  </r>
  <r>
    <x v="90"/>
    <s v="CUB - online payment"/>
    <x v="3"/>
    <x v="2"/>
    <x v="1"/>
    <n v="5120"/>
    <n v="0"/>
    <n v="5120"/>
  </r>
  <r>
    <x v="91"/>
    <s v="CUB - online payment"/>
    <x v="4"/>
    <x v="71"/>
    <x v="1"/>
    <n v="50"/>
    <n v="0"/>
    <n v="50"/>
  </r>
  <r>
    <x v="92"/>
    <s v="CUB - online payment"/>
    <x v="4"/>
    <x v="6"/>
    <x v="1"/>
    <n v="429"/>
    <n v="0"/>
    <n v="429"/>
  </r>
  <r>
    <x v="93"/>
    <s v="CUB - online payment"/>
    <x v="1"/>
    <x v="72"/>
    <x v="1"/>
    <n v="10"/>
    <n v="0"/>
    <n v="10"/>
  </r>
  <r>
    <x v="94"/>
    <s v="CUB - online payment"/>
    <x v="1"/>
    <x v="73"/>
    <x v="1"/>
    <n v="877.81"/>
    <n v="0"/>
    <n v="877.81"/>
  </r>
  <r>
    <x v="95"/>
    <s v="CUB - online payment"/>
    <x v="1"/>
    <x v="74"/>
    <x v="1"/>
    <n v="200"/>
    <n v="0"/>
    <n v="200"/>
  </r>
  <r>
    <x v="96"/>
    <s v="CUB - online payment"/>
    <x v="2"/>
    <x v="75"/>
    <x v="0"/>
    <n v="440"/>
    <n v="440"/>
    <n v="0"/>
  </r>
  <r>
    <x v="97"/>
    <s v="CUB - online payment"/>
    <x v="2"/>
    <x v="76"/>
    <x v="1"/>
    <n v="4500"/>
    <n v="0"/>
    <n v="4500"/>
  </r>
  <r>
    <x v="98"/>
    <s v="CUB - online payment"/>
    <x v="4"/>
    <x v="77"/>
    <x v="1"/>
    <n v="1000"/>
    <n v="0"/>
    <n v="1000"/>
  </r>
  <r>
    <x v="99"/>
    <s v="CUB - online payment"/>
    <x v="1"/>
    <x v="78"/>
    <x v="1"/>
    <n v="150"/>
    <n v="0"/>
    <n v="150"/>
  </r>
  <r>
    <x v="100"/>
    <s v="CUB - online payment"/>
    <x v="1"/>
    <x v="79"/>
    <x v="1"/>
    <n v="125"/>
    <n v="0"/>
    <n v="125"/>
  </r>
  <r>
    <x v="101"/>
    <s v="CUB - online payment"/>
    <x v="1"/>
    <x v="80"/>
    <x v="1"/>
    <n v="491"/>
    <n v="0"/>
    <n v="491"/>
  </r>
  <r>
    <x v="102"/>
    <s v="CUB - online payment"/>
    <x v="1"/>
    <x v="1"/>
    <x v="1"/>
    <n v="749"/>
    <n v="0"/>
    <n v="749"/>
  </r>
  <r>
    <x v="103"/>
    <s v="CUB - online payment"/>
    <x v="3"/>
    <x v="2"/>
    <x v="1"/>
    <n v="4120"/>
    <n v="0"/>
    <n v="4120"/>
  </r>
  <r>
    <x v="104"/>
    <s v="CUB - online payment"/>
    <x v="6"/>
    <x v="17"/>
    <x v="0"/>
    <n v="55000"/>
    <n v="55000"/>
    <n v="0"/>
  </r>
  <r>
    <x v="105"/>
    <s v="CUB - online payment"/>
    <x v="1"/>
    <x v="81"/>
    <x v="1"/>
    <n v="1599"/>
    <n v="0"/>
    <n v="1599"/>
  </r>
  <r>
    <x v="106"/>
    <s v="CUB - online payment"/>
    <x v="4"/>
    <x v="82"/>
    <x v="1"/>
    <n v="214"/>
    <n v="0"/>
    <n v="214"/>
  </r>
  <r>
    <x v="107"/>
    <s v="CUB - online payment"/>
    <x v="2"/>
    <x v="78"/>
    <x v="1"/>
    <n v="200"/>
    <n v="0"/>
    <n v="200"/>
  </r>
  <r>
    <x v="108"/>
    <s v="CUB - online payment"/>
    <x v="3"/>
    <x v="2"/>
    <x v="1"/>
    <n v="4620"/>
    <n v="0"/>
    <n v="4620"/>
  </r>
  <r>
    <x v="109"/>
    <s v="CUB - online payment"/>
    <x v="1"/>
    <x v="33"/>
    <x v="1"/>
    <n v="302"/>
    <n v="0"/>
    <n v="302"/>
  </r>
  <r>
    <x v="110"/>
    <s v="CUB - online payment"/>
    <x v="5"/>
    <x v="83"/>
    <x v="1"/>
    <n v="1500"/>
    <n v="0"/>
    <n v="1500"/>
  </r>
  <r>
    <x v="111"/>
    <s v="CUB - online payment"/>
    <x v="1"/>
    <x v="84"/>
    <x v="1"/>
    <n v="259"/>
    <n v="0"/>
    <n v="259"/>
  </r>
  <r>
    <x v="112"/>
    <s v="CUB - online payment"/>
    <x v="6"/>
    <x v="17"/>
    <x v="0"/>
    <n v="55000"/>
    <n v="55000"/>
    <n v="0"/>
  </r>
  <r>
    <x v="113"/>
    <s v="CUB - online payment"/>
    <x v="2"/>
    <x v="11"/>
    <x v="0"/>
    <n v="300"/>
    <n v="300"/>
    <n v="0"/>
  </r>
  <r>
    <x v="114"/>
    <s v="CUB - online payment"/>
    <x v="3"/>
    <x v="85"/>
    <x v="1"/>
    <n v="4580"/>
    <n v="0"/>
    <n v="4580"/>
  </r>
  <r>
    <x v="115"/>
    <s v="CUB - online payment"/>
    <x v="1"/>
    <x v="86"/>
    <x v="1"/>
    <n v="535.29999999999995"/>
    <n v="0"/>
    <n v="535.29999999999995"/>
  </r>
  <r>
    <x v="116"/>
    <s v="CUB - online payment"/>
    <x v="2"/>
    <x v="87"/>
    <x v="0"/>
    <n v="260"/>
    <n v="260"/>
    <n v="0"/>
  </r>
  <r>
    <x v="117"/>
    <s v="CUB - online payment"/>
    <x v="6"/>
    <x v="17"/>
    <x v="0"/>
    <n v="55000"/>
    <n v="55000"/>
    <n v="0"/>
  </r>
  <r>
    <x v="118"/>
    <s v="CUB - online payment"/>
    <x v="2"/>
    <x v="0"/>
    <x v="0"/>
    <n v="500"/>
    <n v="500"/>
    <n v="0"/>
  </r>
  <r>
    <x v="119"/>
    <s v="CUB - online payment"/>
    <x v="2"/>
    <x v="88"/>
    <x v="1"/>
    <n v="50"/>
    <n v="0"/>
    <n v="50"/>
  </r>
  <r>
    <x v="120"/>
    <s v="CUB - online payment"/>
    <x v="4"/>
    <x v="89"/>
    <x v="1"/>
    <n v="138"/>
    <n v="0"/>
    <n v="138"/>
  </r>
  <r>
    <x v="121"/>
    <s v="CUB - online payment"/>
    <x v="1"/>
    <x v="90"/>
    <x v="1"/>
    <n v="324.7"/>
    <n v="0"/>
    <n v="324.7"/>
  </r>
  <r>
    <x v="122"/>
    <s v="CUB - online payment"/>
    <x v="1"/>
    <x v="1"/>
    <x v="1"/>
    <n v="40"/>
    <n v="0"/>
    <n v="40"/>
  </r>
  <r>
    <x v="123"/>
    <s v="CUB - online payment"/>
    <x v="4"/>
    <x v="6"/>
    <x v="1"/>
    <n v="43"/>
    <n v="0"/>
    <n v="43"/>
  </r>
  <r>
    <x v="124"/>
    <s v="CUB - online payment"/>
    <x v="2"/>
    <x v="91"/>
    <x v="0"/>
    <n v="2250"/>
    <n v="2250"/>
    <n v="0"/>
  </r>
  <r>
    <x v="125"/>
    <s v="CUB - online payment"/>
    <x v="3"/>
    <x v="92"/>
    <x v="1"/>
    <n v="2099"/>
    <n v="0"/>
    <n v="2099"/>
  </r>
  <r>
    <x v="126"/>
    <s v="CUB - online payment"/>
    <x v="2"/>
    <x v="11"/>
    <x v="0"/>
    <n v="100"/>
    <n v="100"/>
    <n v="0"/>
  </r>
  <r>
    <x v="127"/>
    <s v="CUB - online payment"/>
    <x v="2"/>
    <x v="93"/>
    <x v="0"/>
    <n v="170"/>
    <n v="170"/>
    <n v="0"/>
  </r>
  <r>
    <x v="128"/>
    <s v="CUB - online payment"/>
    <x v="1"/>
    <x v="94"/>
    <x v="1"/>
    <n v="300"/>
    <n v="0"/>
    <n v="300"/>
  </r>
  <r>
    <x v="129"/>
    <s v="CUB - online payment"/>
    <x v="1"/>
    <x v="4"/>
    <x v="1"/>
    <n v="465"/>
    <n v="0"/>
    <n v="465"/>
  </r>
  <r>
    <x v="130"/>
    <s v="CUB - online payment"/>
    <x v="1"/>
    <x v="95"/>
    <x v="1"/>
    <n v="40"/>
    <n v="0"/>
    <n v="40"/>
  </r>
  <r>
    <x v="131"/>
    <s v="CUB - online payment"/>
    <x v="1"/>
    <x v="5"/>
    <x v="1"/>
    <n v="133"/>
    <n v="0"/>
    <n v="133"/>
  </r>
  <r>
    <x v="132"/>
    <s v="CUB - online payment"/>
    <x v="6"/>
    <x v="17"/>
    <x v="0"/>
    <n v="55000"/>
    <n v="55000"/>
    <n v="0"/>
  </r>
  <r>
    <x v="133"/>
    <s v="CUB - online payment"/>
    <x v="4"/>
    <x v="25"/>
    <x v="1"/>
    <n v="3325"/>
    <n v="0"/>
    <n v="3325"/>
  </r>
  <r>
    <x v="134"/>
    <s v="CUB - online payment"/>
    <x v="2"/>
    <x v="24"/>
    <x v="1"/>
    <n v="300"/>
    <n v="0"/>
    <n v="300"/>
  </r>
  <r>
    <x v="135"/>
    <s v="CUB - online payment"/>
    <x v="1"/>
    <x v="96"/>
    <x v="1"/>
    <n v="106"/>
    <n v="0"/>
    <n v="106"/>
  </r>
  <r>
    <x v="136"/>
    <s v="CUB - online payment"/>
    <x v="6"/>
    <x v="17"/>
    <x v="0"/>
    <n v="55140"/>
    <n v="55140"/>
    <n v="0"/>
  </r>
  <r>
    <x v="137"/>
    <s v="CUB - online payment"/>
    <x v="2"/>
    <x v="50"/>
    <x v="0"/>
    <n v="201"/>
    <n v="201"/>
    <n v="0"/>
  </r>
  <r>
    <x v="138"/>
    <s v="CUB - online payment"/>
    <x v="3"/>
    <x v="92"/>
    <x v="1"/>
    <n v="2099"/>
    <n v="0"/>
    <n v="2099"/>
  </r>
  <r>
    <x v="139"/>
    <s v="CUB - online payment"/>
    <x v="1"/>
    <x v="34"/>
    <x v="1"/>
    <n v="641"/>
    <n v="0"/>
    <n v="641"/>
  </r>
  <r>
    <x v="140"/>
    <s v="CUB - online payment"/>
    <x v="1"/>
    <x v="97"/>
    <x v="1"/>
    <n v="80"/>
    <n v="0"/>
    <n v="80"/>
  </r>
  <r>
    <x v="141"/>
    <s v="CUB - online payment"/>
    <x v="1"/>
    <x v="98"/>
    <x v="1"/>
    <n v="110"/>
    <n v="0"/>
    <n v="110"/>
  </r>
  <r>
    <x v="142"/>
    <s v="CUB - online payment"/>
    <x v="2"/>
    <x v="78"/>
    <x v="1"/>
    <n v="10000"/>
    <n v="0"/>
    <n v="10000"/>
  </r>
  <r>
    <x v="143"/>
    <s v="CUB - online payment"/>
    <x v="2"/>
    <x v="99"/>
    <x v="0"/>
    <n v="40"/>
    <n v="40"/>
    <n v="0"/>
  </r>
  <r>
    <x v="144"/>
    <s v="CUB - online payment"/>
    <x v="2"/>
    <x v="47"/>
    <x v="0"/>
    <n v="20"/>
    <n v="20"/>
    <n v="0"/>
  </r>
  <r>
    <x v="144"/>
    <s v="CUB - online payment"/>
    <x v="4"/>
    <x v="100"/>
    <x v="1"/>
    <n v="286"/>
    <n v="0"/>
    <n v="286"/>
  </r>
  <r>
    <x v="145"/>
    <s v="CUB - online payment"/>
    <x v="4"/>
    <x v="101"/>
    <x v="1"/>
    <n v="199"/>
    <n v="0"/>
    <n v="199"/>
  </r>
  <r>
    <x v="146"/>
    <s v="CUB - online payment"/>
    <x v="1"/>
    <x v="102"/>
    <x v="1"/>
    <n v="135.5"/>
    <n v="0"/>
    <n v="135.5"/>
  </r>
  <r>
    <x v="147"/>
    <s v="CUB - online payment"/>
    <x v="3"/>
    <x v="92"/>
    <x v="1"/>
    <n v="4099"/>
    <n v="0"/>
    <n v="4099"/>
  </r>
  <r>
    <x v="148"/>
    <s v="CUB - online payment"/>
    <x v="1"/>
    <x v="103"/>
    <x v="1"/>
    <n v="373"/>
    <n v="0"/>
    <n v="373"/>
  </r>
  <r>
    <x v="149"/>
    <s v="CUB - online payment"/>
    <x v="2"/>
    <x v="0"/>
    <x v="0"/>
    <n v="1000"/>
    <n v="1000"/>
    <n v="0"/>
  </r>
  <r>
    <x v="150"/>
    <s v="CUB - online payment"/>
    <x v="1"/>
    <x v="104"/>
    <x v="1"/>
    <n v="1530"/>
    <n v="0"/>
    <n v="1530"/>
  </r>
  <r>
    <x v="150"/>
    <s v="CUB - online payment"/>
    <x v="2"/>
    <x v="87"/>
    <x v="0"/>
    <n v="340"/>
    <n v="340"/>
    <n v="0"/>
  </r>
  <r>
    <x v="151"/>
    <s v="CUB - online payment"/>
    <x v="6"/>
    <x v="17"/>
    <x v="0"/>
    <n v="55240"/>
    <n v="55240"/>
    <n v="0"/>
  </r>
  <r>
    <x v="152"/>
    <s v="CUB - online payment"/>
    <x v="2"/>
    <x v="105"/>
    <x v="0"/>
    <n v="70"/>
    <n v="70"/>
    <n v="0"/>
  </r>
  <r>
    <x v="153"/>
    <s v="CUB - online payment"/>
    <x v="2"/>
    <x v="0"/>
    <x v="0"/>
    <n v="1000"/>
    <n v="1000"/>
    <n v="0"/>
  </r>
  <r>
    <x v="154"/>
    <s v="CUB - online payment"/>
    <x v="4"/>
    <x v="106"/>
    <x v="1"/>
    <n v="35"/>
    <n v="0"/>
    <n v="35"/>
  </r>
  <r>
    <x v="155"/>
    <s v="CUB - online payment"/>
    <x v="1"/>
    <x v="107"/>
    <x v="1"/>
    <n v="130"/>
    <n v="0"/>
    <n v="130"/>
  </r>
  <r>
    <x v="156"/>
    <s v="CUB - online payment"/>
    <x v="1"/>
    <x v="107"/>
    <x v="1"/>
    <n v="120"/>
    <n v="0"/>
    <n v="120"/>
  </r>
  <r>
    <x v="157"/>
    <s v="CUB - online payment"/>
    <x v="1"/>
    <x v="108"/>
    <x v="1"/>
    <n v="269.39999999999998"/>
    <n v="0"/>
    <n v="269.39999999999998"/>
  </r>
  <r>
    <x v="158"/>
    <s v="CUB - online payment"/>
    <x v="1"/>
    <x v="109"/>
    <x v="1"/>
    <n v="94"/>
    <n v="0"/>
    <n v="94"/>
  </r>
  <r>
    <x v="159"/>
    <s v="CUB - online payment"/>
    <x v="1"/>
    <x v="110"/>
    <x v="1"/>
    <n v="40"/>
    <n v="0"/>
    <n v="40"/>
  </r>
  <r>
    <x v="160"/>
    <s v="CUB - online payment"/>
    <x v="1"/>
    <x v="97"/>
    <x v="1"/>
    <n v="40"/>
    <n v="0"/>
    <n v="40"/>
  </r>
  <r>
    <x v="161"/>
    <s v="CUB - online payment"/>
    <x v="1"/>
    <x v="5"/>
    <x v="1"/>
    <n v="40"/>
    <n v="0"/>
    <n v="40"/>
  </r>
  <r>
    <x v="161"/>
    <s v="CUB - online payment"/>
    <x v="1"/>
    <x v="4"/>
    <x v="1"/>
    <n v="50"/>
    <n v="0"/>
    <n v="50"/>
  </r>
  <r>
    <x v="162"/>
    <s v="CUB - online payment"/>
    <x v="4"/>
    <x v="6"/>
    <x v="1"/>
    <n v="44"/>
    <n v="0"/>
    <n v="44"/>
  </r>
  <r>
    <x v="163"/>
    <s v="CUB - online payment"/>
    <x v="1"/>
    <x v="110"/>
    <x v="1"/>
    <n v="70"/>
    <n v="0"/>
    <n v="70"/>
  </r>
  <r>
    <x v="164"/>
    <s v="CUB - online payment"/>
    <x v="1"/>
    <x v="5"/>
    <x v="1"/>
    <n v="128"/>
    <n v="0"/>
    <n v="128"/>
  </r>
  <r>
    <x v="165"/>
    <s v="CUB - online payment"/>
    <x v="5"/>
    <x v="111"/>
    <x v="1"/>
    <n v="115"/>
    <n v="0"/>
    <n v="115"/>
  </r>
  <r>
    <x v="166"/>
    <s v="CUB - online payment"/>
    <x v="1"/>
    <x v="46"/>
    <x v="1"/>
    <n v="301.75"/>
    <n v="0"/>
    <n v="301.75"/>
  </r>
  <r>
    <x v="166"/>
    <s v="CUB - online payment"/>
    <x v="2"/>
    <x v="112"/>
    <x v="0"/>
    <n v="200"/>
    <n v="200"/>
    <n v="0"/>
  </r>
  <r>
    <x v="167"/>
    <s v="CUB - online payment"/>
    <x v="2"/>
    <x v="113"/>
    <x v="1"/>
    <n v="479"/>
    <n v="0"/>
    <n v="479"/>
  </r>
  <r>
    <x v="168"/>
    <s v="CUB - online payment"/>
    <x v="2"/>
    <x v="0"/>
    <x v="0"/>
    <n v="10000"/>
    <n v="10000"/>
    <n v="0"/>
  </r>
  <r>
    <x v="169"/>
    <s v="CUB - online payment"/>
    <x v="1"/>
    <x v="33"/>
    <x v="1"/>
    <n v="80"/>
    <n v="0"/>
    <n v="80"/>
  </r>
  <r>
    <x v="170"/>
    <s v="CUB - online payment"/>
    <x v="3"/>
    <x v="114"/>
    <x v="1"/>
    <n v="7770"/>
    <n v="0"/>
    <n v="7770"/>
  </r>
  <r>
    <x v="171"/>
    <s v="CUB - online payment"/>
    <x v="1"/>
    <x v="98"/>
    <x v="1"/>
    <n v="25"/>
    <n v="0"/>
    <n v="25"/>
  </r>
  <r>
    <x v="172"/>
    <s v="CUB - online payment"/>
    <x v="1"/>
    <x v="98"/>
    <x v="1"/>
    <n v="65"/>
    <n v="0"/>
    <n v="65"/>
  </r>
  <r>
    <x v="173"/>
    <s v="CUB - online payment"/>
    <x v="1"/>
    <x v="1"/>
    <x v="1"/>
    <n v="75"/>
    <n v="0"/>
    <n v="75"/>
  </r>
  <r>
    <x v="174"/>
    <s v="CUB - online payment"/>
    <x v="1"/>
    <x v="33"/>
    <x v="1"/>
    <n v="400"/>
    <n v="0"/>
    <n v="400"/>
  </r>
  <r>
    <x v="175"/>
    <s v="CUB - online payment"/>
    <x v="1"/>
    <x v="33"/>
    <x v="1"/>
    <n v="30"/>
    <n v="0"/>
    <n v="30"/>
  </r>
  <r>
    <x v="176"/>
    <s v="CUB - online payment"/>
    <x v="1"/>
    <x v="97"/>
    <x v="1"/>
    <n v="20"/>
    <n v="0"/>
    <n v="20"/>
  </r>
  <r>
    <x v="177"/>
    <s v="CUB - online payment"/>
    <x v="1"/>
    <x v="115"/>
    <x v="1"/>
    <n v="300"/>
    <n v="0"/>
    <n v="300"/>
  </r>
  <r>
    <x v="178"/>
    <s v="CUB - online payment"/>
    <x v="1"/>
    <x v="5"/>
    <x v="1"/>
    <n v="110"/>
    <n v="0"/>
    <n v="110"/>
  </r>
  <r>
    <x v="179"/>
    <s v="CUB - online payment"/>
    <x v="1"/>
    <x v="98"/>
    <x v="1"/>
    <n v="700"/>
    <n v="0"/>
    <n v="700"/>
  </r>
  <r>
    <x v="180"/>
    <s v="CUB - online payment"/>
    <x v="1"/>
    <x v="33"/>
    <x v="1"/>
    <n v="160"/>
    <n v="0"/>
    <n v="160"/>
  </r>
  <r>
    <x v="181"/>
    <s v="CUB - online payment"/>
    <x v="2"/>
    <x v="116"/>
    <x v="0"/>
    <n v="400"/>
    <n v="400"/>
    <n v="0"/>
  </r>
  <r>
    <x v="182"/>
    <s v="CUB - online payment"/>
    <x v="1"/>
    <x v="117"/>
    <x v="1"/>
    <n v="113"/>
    <n v="0"/>
    <n v="113"/>
  </r>
  <r>
    <x v="182"/>
    <s v="CUB - online payment"/>
    <x v="0"/>
    <x v="0"/>
    <x v="0"/>
    <n v="5000"/>
    <n v="5000"/>
    <n v="0"/>
  </r>
  <r>
    <x v="183"/>
    <s v="CUB - online payment"/>
    <x v="2"/>
    <x v="118"/>
    <x v="1"/>
    <n v="200"/>
    <n v="0"/>
    <n v="200"/>
  </r>
  <r>
    <x v="184"/>
    <s v="CUB - online payment"/>
    <x v="2"/>
    <x v="119"/>
    <x v="1"/>
    <n v="10000"/>
    <n v="0"/>
    <n v="10000"/>
  </r>
  <r>
    <x v="185"/>
    <s v="CUB - online payment"/>
    <x v="1"/>
    <x v="98"/>
    <x v="1"/>
    <n v="40"/>
    <n v="0"/>
    <n v="40"/>
  </r>
  <r>
    <x v="186"/>
    <s v="CUB - online payment"/>
    <x v="1"/>
    <x v="120"/>
    <x v="1"/>
    <n v="85"/>
    <n v="0"/>
    <n v="85"/>
  </r>
  <r>
    <x v="187"/>
    <s v="CUB - online payment"/>
    <x v="1"/>
    <x v="121"/>
    <x v="1"/>
    <n v="20"/>
    <n v="0"/>
    <n v="20"/>
  </r>
  <r>
    <x v="188"/>
    <s v="CUB - online payment"/>
    <x v="1"/>
    <x v="1"/>
    <x v="1"/>
    <n v="20"/>
    <n v="0"/>
    <n v="20"/>
  </r>
  <r>
    <x v="189"/>
    <s v="CUB - online payment"/>
    <x v="4"/>
    <x v="122"/>
    <x v="1"/>
    <n v="800"/>
    <n v="0"/>
    <n v="800"/>
  </r>
  <r>
    <x v="190"/>
    <s v="CUB - online payment"/>
    <x v="1"/>
    <x v="98"/>
    <x v="1"/>
    <n v="80"/>
    <n v="0"/>
    <n v="80"/>
  </r>
  <r>
    <x v="191"/>
    <s v="CUB - online payment"/>
    <x v="1"/>
    <x v="123"/>
    <x v="1"/>
    <n v="18"/>
    <n v="0"/>
    <n v="18"/>
  </r>
  <r>
    <x v="192"/>
    <s v="CUB - online payment"/>
    <x v="1"/>
    <x v="124"/>
    <x v="1"/>
    <n v="25"/>
    <n v="0"/>
    <n v="25"/>
  </r>
  <r>
    <x v="193"/>
    <s v="CUB - online payment"/>
    <x v="1"/>
    <x v="26"/>
    <x v="1"/>
    <n v="239"/>
    <n v="0"/>
    <n v="239"/>
  </r>
  <r>
    <x v="194"/>
    <s v="CUB - online payment"/>
    <x v="1"/>
    <x v="125"/>
    <x v="1"/>
    <n v="32"/>
    <n v="0"/>
    <n v="32"/>
  </r>
  <r>
    <x v="195"/>
    <s v="CUB - online payment"/>
    <x v="1"/>
    <x v="126"/>
    <x v="1"/>
    <n v="15"/>
    <n v="0"/>
    <n v="15"/>
  </r>
  <r>
    <x v="196"/>
    <s v="CUB - online payment"/>
    <x v="1"/>
    <x v="5"/>
    <x v="1"/>
    <n v="262"/>
    <n v="0"/>
    <n v="262"/>
  </r>
  <r>
    <x v="197"/>
    <s v="CUB - online payment"/>
    <x v="1"/>
    <x v="98"/>
    <x v="1"/>
    <n v="40"/>
    <n v="0"/>
    <n v="40"/>
  </r>
  <r>
    <x v="198"/>
    <s v="CUB - online payment"/>
    <x v="1"/>
    <x v="121"/>
    <x v="1"/>
    <n v="30"/>
    <n v="0"/>
    <n v="30"/>
  </r>
  <r>
    <x v="199"/>
    <s v="CUB - online payment"/>
    <x v="1"/>
    <x v="127"/>
    <x v="1"/>
    <n v="300"/>
    <n v="0"/>
    <n v="300"/>
  </r>
  <r>
    <x v="200"/>
    <s v="CUB - online payment"/>
    <x v="5"/>
    <x v="128"/>
    <x v="1"/>
    <n v="400"/>
    <n v="0"/>
    <n v="400"/>
  </r>
  <r>
    <x v="201"/>
    <s v="CUB - online payment"/>
    <x v="1"/>
    <x v="26"/>
    <x v="1"/>
    <n v="504"/>
    <n v="0"/>
    <n v="504"/>
  </r>
  <r>
    <x v="202"/>
    <s v="CUB - online payment"/>
    <x v="1"/>
    <x v="129"/>
    <x v="1"/>
    <n v="50"/>
    <n v="0"/>
    <n v="50"/>
  </r>
  <r>
    <x v="203"/>
    <s v="CUB - online payment"/>
    <x v="2"/>
    <x v="11"/>
    <x v="0"/>
    <n v="80"/>
    <n v="80"/>
    <n v="0"/>
  </r>
  <r>
    <x v="204"/>
    <s v="CUB - online payment"/>
    <x v="1"/>
    <x v="120"/>
    <x v="1"/>
    <n v="115"/>
    <n v="0"/>
    <n v="115"/>
  </r>
  <r>
    <x v="205"/>
    <s v="CUB - online payment"/>
    <x v="1"/>
    <x v="130"/>
    <x v="1"/>
    <n v="14"/>
    <n v="0"/>
    <n v="14"/>
  </r>
  <r>
    <x v="206"/>
    <s v="CUB - online payment"/>
    <x v="1"/>
    <x v="121"/>
    <x v="1"/>
    <n v="20"/>
    <n v="0"/>
    <n v="20"/>
  </r>
  <r>
    <x v="207"/>
    <s v="CUB - online payment"/>
    <x v="2"/>
    <x v="91"/>
    <x v="0"/>
    <n v="250"/>
    <n v="250"/>
    <n v="0"/>
  </r>
  <r>
    <x v="208"/>
    <s v="CUB - online payment"/>
    <x v="1"/>
    <x v="131"/>
    <x v="1"/>
    <n v="25"/>
    <n v="0"/>
    <n v="25"/>
  </r>
  <r>
    <x v="209"/>
    <s v="CUB - online payment"/>
    <x v="6"/>
    <x v="17"/>
    <x v="0"/>
    <n v="55530"/>
    <n v="55530"/>
    <n v="0"/>
  </r>
  <r>
    <x v="210"/>
    <s v="CUB - online payment"/>
    <x v="4"/>
    <x v="132"/>
    <x v="1"/>
    <n v="43"/>
    <n v="0"/>
    <n v="43"/>
  </r>
  <r>
    <x v="211"/>
    <s v="CUB - online payment"/>
    <x v="1"/>
    <x v="133"/>
    <x v="1"/>
    <n v="20"/>
    <n v="0"/>
    <n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4C1CDD-DB26-4560-8319-CBE141AA1E4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K44:L53" firstHeaderRow="1" firstDataRow="1" firstDataCol="1" rowPageCount="1" colPageCount="1"/>
  <pivotFields count="10">
    <pivotField numFmtId="16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showAll="0"/>
    <pivotField axis="axisRow" showAll="0">
      <items count="9">
        <item x="0"/>
        <item x="5"/>
        <item x="7"/>
        <item x="1"/>
        <item x="3"/>
        <item x="2"/>
        <item x="6"/>
        <item x="4"/>
        <item t="default"/>
      </items>
    </pivotField>
    <pivotField showAll="0">
      <items count="135">
        <item x="58"/>
        <item x="82"/>
        <item x="13"/>
        <item x="20"/>
        <item x="92"/>
        <item x="83"/>
        <item x="111"/>
        <item x="72"/>
        <item x="101"/>
        <item x="128"/>
        <item x="110"/>
        <item x="29"/>
        <item x="22"/>
        <item x="123"/>
        <item x="37"/>
        <item x="54"/>
        <item x="63"/>
        <item x="79"/>
        <item x="129"/>
        <item x="81"/>
        <item x="130"/>
        <item x="127"/>
        <item x="43"/>
        <item x="23"/>
        <item x="51"/>
        <item x="4"/>
        <item x="103"/>
        <item x="80"/>
        <item x="26"/>
        <item x="107"/>
        <item x="73"/>
        <item x="55"/>
        <item x="115"/>
        <item x="41"/>
        <item x="8"/>
        <item x="96"/>
        <item x="47"/>
        <item x="50"/>
        <item x="75"/>
        <item x="0"/>
        <item x="91"/>
        <item x="99"/>
        <item x="87"/>
        <item x="112"/>
        <item x="49"/>
        <item x="11"/>
        <item x="30"/>
        <item x="88"/>
        <item x="53"/>
        <item x="7"/>
        <item x="42"/>
        <item x="131"/>
        <item x="40"/>
        <item x="68"/>
        <item x="74"/>
        <item x="31"/>
        <item x="84"/>
        <item x="34"/>
        <item x="93"/>
        <item x="14"/>
        <item x="126"/>
        <item x="116"/>
        <item x="67"/>
        <item x="69"/>
        <item x="33"/>
        <item x="10"/>
        <item x="104"/>
        <item x="48"/>
        <item x="120"/>
        <item x="5"/>
        <item x="86"/>
        <item x="102"/>
        <item x="3"/>
        <item x="98"/>
        <item x="114"/>
        <item x="17"/>
        <item x="15"/>
        <item x="97"/>
        <item x="28"/>
        <item x="95"/>
        <item x="132"/>
        <item x="46"/>
        <item x="124"/>
        <item x="125"/>
        <item x="61"/>
        <item x="38"/>
        <item x="106"/>
        <item x="100"/>
        <item x="6"/>
        <item x="113"/>
        <item x="64"/>
        <item x="85"/>
        <item x="21"/>
        <item x="57"/>
        <item x="94"/>
        <item x="62"/>
        <item x="32"/>
        <item x="105"/>
        <item x="109"/>
        <item x="9"/>
        <item x="1"/>
        <item x="12"/>
        <item x="70"/>
        <item x="2"/>
        <item x="27"/>
        <item x="90"/>
        <item x="122"/>
        <item x="44"/>
        <item x="118"/>
        <item x="65"/>
        <item x="36"/>
        <item x="133"/>
        <item x="77"/>
        <item x="35"/>
        <item x="76"/>
        <item x="66"/>
        <item x="52"/>
        <item x="45"/>
        <item x="56"/>
        <item x="78"/>
        <item x="59"/>
        <item x="117"/>
        <item x="119"/>
        <item x="24"/>
        <item x="19"/>
        <item x="60"/>
        <item x="39"/>
        <item x="25"/>
        <item x="89"/>
        <item x="16"/>
        <item x="71"/>
        <item x="121"/>
        <item x="18"/>
        <item x="108"/>
        <item t="default"/>
      </items>
    </pivotField>
    <pivotField showAll="0">
      <items count="3">
        <item x="1"/>
        <item x="0"/>
        <item t="default"/>
      </items>
    </pivotField>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Page" multipleItemSelectionAllowed="1"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i>
    <i>
      <x v="1"/>
    </i>
    <i>
      <x v="2"/>
    </i>
    <i>
      <x v="3"/>
    </i>
    <i>
      <x v="4"/>
    </i>
    <i>
      <x v="5"/>
    </i>
    <i>
      <x v="6"/>
    </i>
    <i>
      <x v="7"/>
    </i>
    <i t="grand">
      <x/>
    </i>
  </rowItems>
  <colItems count="1">
    <i/>
  </colItems>
  <pageFields count="1">
    <pageField fld="9" hier="-1"/>
  </pageFields>
  <dataFields count="1">
    <dataField name="Sum of Income" fld="6" baseField="0" baseItem="0"/>
  </dataFields>
  <chartFormats count="18">
    <chartFormat chart="0" format="0"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2" count="1" selected="0">
            <x v="1"/>
          </reference>
        </references>
      </pivotArea>
    </chartFormat>
    <chartFormat chart="17" format="10">
      <pivotArea type="data" outline="0" fieldPosition="0">
        <references count="2">
          <reference field="4294967294" count="1" selected="0">
            <x v="0"/>
          </reference>
          <reference field="2" count="1" selected="0">
            <x v="3"/>
          </reference>
        </references>
      </pivotArea>
    </chartFormat>
    <chartFormat chart="17" format="11">
      <pivotArea type="data" outline="0" fieldPosition="0">
        <references count="2">
          <reference field="4294967294" count="1" selected="0">
            <x v="0"/>
          </reference>
          <reference field="2" count="1" selected="0">
            <x v="4"/>
          </reference>
        </references>
      </pivotArea>
    </chartFormat>
    <chartFormat chart="17" format="12">
      <pivotArea type="data" outline="0" fieldPosition="0">
        <references count="2">
          <reference field="4294967294" count="1" selected="0">
            <x v="0"/>
          </reference>
          <reference field="2" count="1" selected="0">
            <x v="5"/>
          </reference>
        </references>
      </pivotArea>
    </chartFormat>
    <chartFormat chart="17" format="13">
      <pivotArea type="data" outline="0" fieldPosition="0">
        <references count="2">
          <reference field="4294967294" count="1" selected="0">
            <x v="0"/>
          </reference>
          <reference field="2" count="1" selected="0">
            <x v="6"/>
          </reference>
        </references>
      </pivotArea>
    </chartFormat>
    <chartFormat chart="17" format="14">
      <pivotArea type="data" outline="0" fieldPosition="0">
        <references count="2">
          <reference field="4294967294" count="1" selected="0">
            <x v="0"/>
          </reference>
          <reference field="2" count="1" selected="0">
            <x v="7"/>
          </reference>
        </references>
      </pivotArea>
    </chartFormat>
    <chartFormat chart="17" format="15">
      <pivotArea type="data" outline="0" fieldPosition="0">
        <references count="2">
          <reference field="4294967294" count="1" selected="0">
            <x v="0"/>
          </reference>
          <reference field="2" count="1" selected="0">
            <x v="0"/>
          </reference>
        </references>
      </pivotArea>
    </chartFormat>
    <chartFormat chart="17" format="16">
      <pivotArea type="data" outline="0" fieldPosition="0">
        <references count="2">
          <reference field="4294967294" count="1" selected="0">
            <x v="0"/>
          </reference>
          <reference field="2" count="1" selected="0">
            <x v="2"/>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74F27C-F00A-4F40-A39E-5E68B1150EE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23:N142" firstHeaderRow="1" firstDataRow="1" firstDataCol="1" rowPageCount="3" colPageCount="1"/>
  <pivotFields count="8">
    <pivotField numFmtId="16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showAll="0"/>
    <pivotField axis="axisPage" multipleItemSelectionAllowed="1" showAll="0">
      <items count="9">
        <item x="0"/>
        <item x="5"/>
        <item x="7"/>
        <item x="1"/>
        <item x="3"/>
        <item x="2"/>
        <item x="6"/>
        <item x="4"/>
        <item t="default"/>
      </items>
    </pivotField>
    <pivotField axis="axisRow" showAll="0">
      <items count="135">
        <item x="58"/>
        <item x="82"/>
        <item x="13"/>
        <item x="20"/>
        <item x="92"/>
        <item x="83"/>
        <item x="111"/>
        <item x="72"/>
        <item x="101"/>
        <item x="128"/>
        <item x="110"/>
        <item x="29"/>
        <item x="22"/>
        <item x="123"/>
        <item x="37"/>
        <item x="54"/>
        <item x="63"/>
        <item x="79"/>
        <item x="129"/>
        <item x="81"/>
        <item x="130"/>
        <item x="127"/>
        <item x="43"/>
        <item x="23"/>
        <item x="51"/>
        <item x="4"/>
        <item x="103"/>
        <item x="80"/>
        <item x="26"/>
        <item x="107"/>
        <item x="73"/>
        <item x="55"/>
        <item x="115"/>
        <item x="41"/>
        <item x="8"/>
        <item x="96"/>
        <item x="47"/>
        <item x="50"/>
        <item x="75"/>
        <item x="0"/>
        <item x="91"/>
        <item x="99"/>
        <item x="87"/>
        <item x="112"/>
        <item x="49"/>
        <item x="11"/>
        <item x="30"/>
        <item x="88"/>
        <item x="53"/>
        <item x="7"/>
        <item x="42"/>
        <item x="131"/>
        <item x="40"/>
        <item x="68"/>
        <item x="74"/>
        <item x="31"/>
        <item x="84"/>
        <item x="34"/>
        <item x="93"/>
        <item x="14"/>
        <item x="126"/>
        <item x="116"/>
        <item x="67"/>
        <item x="69"/>
        <item x="33"/>
        <item x="10"/>
        <item x="104"/>
        <item x="48"/>
        <item x="120"/>
        <item x="5"/>
        <item x="86"/>
        <item x="102"/>
        <item x="3"/>
        <item x="98"/>
        <item x="114"/>
        <item x="17"/>
        <item x="15"/>
        <item x="97"/>
        <item x="28"/>
        <item x="95"/>
        <item x="132"/>
        <item x="46"/>
        <item x="124"/>
        <item x="125"/>
        <item x="61"/>
        <item x="38"/>
        <item x="106"/>
        <item x="100"/>
        <item x="6"/>
        <item x="113"/>
        <item x="64"/>
        <item x="85"/>
        <item x="21"/>
        <item x="57"/>
        <item x="94"/>
        <item x="62"/>
        <item x="32"/>
        <item x="105"/>
        <item x="109"/>
        <item x="9"/>
        <item x="1"/>
        <item x="12"/>
        <item x="70"/>
        <item x="2"/>
        <item x="27"/>
        <item x="90"/>
        <item x="122"/>
        <item x="44"/>
        <item x="118"/>
        <item x="65"/>
        <item x="36"/>
        <item x="133"/>
        <item x="77"/>
        <item x="35"/>
        <item x="76"/>
        <item x="66"/>
        <item x="52"/>
        <item x="45"/>
        <item x="56"/>
        <item x="78"/>
        <item x="59"/>
        <item x="117"/>
        <item x="119"/>
        <item x="24"/>
        <item x="19"/>
        <item x="60"/>
        <item x="39"/>
        <item x="25"/>
        <item x="89"/>
        <item x="16"/>
        <item x="71"/>
        <item x="121"/>
        <item x="18"/>
        <item x="108"/>
        <item t="default"/>
      </items>
    </pivotField>
    <pivotField axis="axisPage" multipleItemSelectionAllowed="1" showAll="0">
      <items count="3">
        <item x="1"/>
        <item h="1" x="0"/>
        <item t="default"/>
      </items>
    </pivotField>
    <pivotField dataField="1" showAll="0"/>
    <pivotField showAll="0" defaultSubtotal="0"/>
    <pivotField axis="axisPage" multipleItemSelectionAllowed="1" showAll="0" defaultSubtotal="0">
      <items count="14">
        <item x="0"/>
        <item x="1"/>
        <item x="2"/>
        <item x="3"/>
        <item x="4"/>
        <item x="5"/>
        <item x="6"/>
        <item x="7"/>
        <item x="8"/>
        <item x="9"/>
        <item x="10"/>
        <item x="11"/>
        <item x="12"/>
        <item x="13"/>
      </items>
    </pivotField>
  </pivotFields>
  <rowFields count="1">
    <field x="3"/>
  </rowFields>
  <rowItems count="11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46"/>
    </i>
    <i>
      <x v="47"/>
    </i>
    <i>
      <x v="48"/>
    </i>
    <i>
      <x v="50"/>
    </i>
    <i>
      <x v="51"/>
    </i>
    <i>
      <x v="52"/>
    </i>
    <i>
      <x v="53"/>
    </i>
    <i>
      <x v="54"/>
    </i>
    <i>
      <x v="55"/>
    </i>
    <i>
      <x v="56"/>
    </i>
    <i>
      <x v="57"/>
    </i>
    <i>
      <x v="59"/>
    </i>
    <i>
      <x v="60"/>
    </i>
    <i>
      <x v="62"/>
    </i>
    <i>
      <x v="63"/>
    </i>
    <i>
      <x v="64"/>
    </i>
    <i>
      <x v="65"/>
    </i>
    <i>
      <x v="66"/>
    </i>
    <i>
      <x v="67"/>
    </i>
    <i>
      <x v="68"/>
    </i>
    <i>
      <x v="69"/>
    </i>
    <i>
      <x v="70"/>
    </i>
    <i>
      <x v="71"/>
    </i>
    <i>
      <x v="72"/>
    </i>
    <i>
      <x v="73"/>
    </i>
    <i>
      <x v="74"/>
    </i>
    <i>
      <x v="76"/>
    </i>
    <i>
      <x v="77"/>
    </i>
    <i>
      <x v="78"/>
    </i>
    <i>
      <x v="79"/>
    </i>
    <i>
      <x v="80"/>
    </i>
    <i>
      <x v="81"/>
    </i>
    <i>
      <x v="82"/>
    </i>
    <i>
      <x v="83"/>
    </i>
    <i>
      <x v="84"/>
    </i>
    <i>
      <x v="85"/>
    </i>
    <i>
      <x v="86"/>
    </i>
    <i>
      <x v="87"/>
    </i>
    <i>
      <x v="88"/>
    </i>
    <i>
      <x v="89"/>
    </i>
    <i>
      <x v="90"/>
    </i>
    <i>
      <x v="91"/>
    </i>
    <i>
      <x v="92"/>
    </i>
    <i>
      <x v="93"/>
    </i>
    <i>
      <x v="94"/>
    </i>
    <i>
      <x v="95"/>
    </i>
    <i>
      <x v="96"/>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t="grand">
      <x/>
    </i>
  </rowItems>
  <colItems count="1">
    <i/>
  </colItems>
  <pageFields count="3">
    <pageField fld="4" hier="-1"/>
    <pageField fld="2" hier="-1"/>
    <pageField fld="7" hier="-1"/>
  </pageFields>
  <dataFields count="1">
    <dataField name="Sum of Debit/Credit" fld="5"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B19332-2BF6-4783-975D-22F0830D4C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27:K35" firstHeaderRow="1" firstDataRow="1" firstDataCol="1" rowPageCount="1" colPageCount="1"/>
  <pivotFields count="8">
    <pivotField numFmtId="16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showAll="0"/>
    <pivotField axis="axisRow" showAll="0">
      <items count="9">
        <item x="0"/>
        <item x="5"/>
        <item x="7"/>
        <item x="1"/>
        <item x="3"/>
        <item x="2"/>
        <item x="6"/>
        <item x="4"/>
        <item t="default"/>
      </items>
    </pivotField>
    <pivotField showAll="0">
      <items count="135">
        <item x="58"/>
        <item h="1" x="82"/>
        <item h="1" x="13"/>
        <item h="1" x="20"/>
        <item h="1" x="92"/>
        <item h="1" x="83"/>
        <item h="1" x="111"/>
        <item h="1" x="72"/>
        <item h="1" x="101"/>
        <item h="1" x="128"/>
        <item h="1" x="110"/>
        <item h="1" x="29"/>
        <item h="1" x="22"/>
        <item h="1" x="123"/>
        <item h="1" x="37"/>
        <item h="1" x="54"/>
        <item h="1" x="63"/>
        <item h="1" x="79"/>
        <item h="1" x="129"/>
        <item h="1" x="81"/>
        <item h="1" x="130"/>
        <item h="1" x="127"/>
        <item h="1" x="43"/>
        <item h="1" x="23"/>
        <item h="1" x="51"/>
        <item h="1" x="4"/>
        <item h="1" x="103"/>
        <item h="1" x="80"/>
        <item h="1" x="26"/>
        <item h="1" x="107"/>
        <item h="1" x="73"/>
        <item h="1" x="55"/>
        <item h="1" x="115"/>
        <item h="1" x="41"/>
        <item h="1" x="8"/>
        <item h="1" x="96"/>
        <item h="1" x="47"/>
        <item h="1" x="50"/>
        <item h="1" x="75"/>
        <item h="1" x="0"/>
        <item h="1" x="91"/>
        <item h="1" x="99"/>
        <item h="1" x="87"/>
        <item h="1" x="112"/>
        <item h="1" x="49"/>
        <item h="1" x="11"/>
        <item h="1" x="30"/>
        <item h="1" x="88"/>
        <item h="1" x="53"/>
        <item h="1" x="7"/>
        <item h="1" x="42"/>
        <item h="1" x="131"/>
        <item h="1" x="40"/>
        <item h="1" x="68"/>
        <item h="1" x="74"/>
        <item h="1" x="31"/>
        <item h="1" x="84"/>
        <item h="1" x="34"/>
        <item h="1" x="93"/>
        <item h="1" x="14"/>
        <item h="1" x="126"/>
        <item h="1" x="116"/>
        <item h="1" x="67"/>
        <item h="1" x="69"/>
        <item h="1" x="33"/>
        <item h="1" x="10"/>
        <item h="1" x="104"/>
        <item h="1" x="48"/>
        <item h="1" x="120"/>
        <item h="1" x="5"/>
        <item h="1" x="86"/>
        <item h="1" x="102"/>
        <item h="1" x="3"/>
        <item h="1" x="98"/>
        <item h="1" x="114"/>
        <item h="1" x="17"/>
        <item h="1" x="15"/>
        <item h="1" x="97"/>
        <item h="1" x="28"/>
        <item h="1" x="95"/>
        <item h="1" x="132"/>
        <item h="1" x="46"/>
        <item h="1" x="124"/>
        <item h="1" x="125"/>
        <item h="1" x="61"/>
        <item h="1" x="38"/>
        <item h="1" x="106"/>
        <item h="1" x="100"/>
        <item h="1" x="6"/>
        <item h="1" x="113"/>
        <item h="1" x="64"/>
        <item h="1" x="85"/>
        <item h="1" x="21"/>
        <item h="1" x="57"/>
        <item h="1" x="94"/>
        <item h="1" x="62"/>
        <item h="1" x="32"/>
        <item h="1" x="105"/>
        <item h="1" x="109"/>
        <item h="1" x="9"/>
        <item h="1" x="1"/>
        <item h="1" x="12"/>
        <item h="1" x="70"/>
        <item h="1" x="2"/>
        <item h="1" x="27"/>
        <item h="1" x="90"/>
        <item h="1" x="122"/>
        <item h="1" x="44"/>
        <item h="1" x="118"/>
        <item h="1" x="65"/>
        <item h="1" x="36"/>
        <item h="1" x="133"/>
        <item h="1" x="77"/>
        <item h="1" x="35"/>
        <item h="1" x="76"/>
        <item h="1" x="66"/>
        <item h="1" x="52"/>
        <item h="1" x="45"/>
        <item h="1" x="56"/>
        <item h="1" x="78"/>
        <item h="1" x="59"/>
        <item h="1" x="117"/>
        <item h="1" x="119"/>
        <item h="1" x="24"/>
        <item h="1" x="19"/>
        <item h="1" x="60"/>
        <item h="1" x="39"/>
        <item h="1" x="25"/>
        <item h="1" x="89"/>
        <item h="1" x="16"/>
        <item h="1" x="71"/>
        <item h="1" x="121"/>
        <item h="1" x="18"/>
        <item h="1" x="108"/>
        <item t="default"/>
      </items>
    </pivotField>
    <pivotField axis="axisRow" showAll="0">
      <items count="3">
        <item x="1"/>
        <item h="1" x="0"/>
        <item t="default"/>
      </items>
    </pivotField>
    <pivotField dataField="1" showAll="0"/>
    <pivotField showAll="0" defaultSubtotal="0"/>
    <pivotField axis="axisPage" multipleItemSelectionAllowed="1" showAll="0" defaultSubtotal="0">
      <items count="14">
        <item x="0"/>
        <item x="1"/>
        <item x="2"/>
        <item x="3"/>
        <item x="4"/>
        <item x="5"/>
        <item x="6"/>
        <item x="7"/>
        <item x="8"/>
        <item x="9"/>
        <item x="10"/>
        <item x="11"/>
        <item x="12"/>
        <item x="13"/>
      </items>
    </pivotField>
  </pivotFields>
  <rowFields count="2">
    <field x="4"/>
    <field x="2"/>
  </rowFields>
  <rowItems count="8">
    <i>
      <x/>
    </i>
    <i r="1">
      <x v="1"/>
    </i>
    <i r="1">
      <x v="2"/>
    </i>
    <i r="1">
      <x v="3"/>
    </i>
    <i r="1">
      <x v="4"/>
    </i>
    <i r="1">
      <x v="5"/>
    </i>
    <i r="1">
      <x v="7"/>
    </i>
    <i t="grand">
      <x/>
    </i>
  </rowItems>
  <colItems count="1">
    <i/>
  </colItems>
  <pageFields count="1">
    <pageField fld="7" hier="-1"/>
  </pageFields>
  <dataFields count="1">
    <dataField name="Sum of Debit/Credit" fld="5" baseField="0" baseItem="0"/>
  </dataFields>
  <chartFormats count="22">
    <chartFormat chart="0" format="151" series="1">
      <pivotArea type="data" outline="0" fieldPosition="0">
        <references count="2">
          <reference field="4294967294" count="1" selected="0">
            <x v="0"/>
          </reference>
          <reference field="2" count="1" selected="0">
            <x v="0"/>
          </reference>
        </references>
      </pivotArea>
    </chartFormat>
    <chartFormat chart="0" format="152" series="1">
      <pivotArea type="data" outline="0" fieldPosition="0">
        <references count="2">
          <reference field="4294967294" count="1" selected="0">
            <x v="0"/>
          </reference>
          <reference field="2" count="1" selected="0">
            <x v="1"/>
          </reference>
        </references>
      </pivotArea>
    </chartFormat>
    <chartFormat chart="0" format="153" series="1">
      <pivotArea type="data" outline="0" fieldPosition="0">
        <references count="2">
          <reference field="4294967294" count="1" selected="0">
            <x v="0"/>
          </reference>
          <reference field="2" count="1" selected="0">
            <x v="2"/>
          </reference>
        </references>
      </pivotArea>
    </chartFormat>
    <chartFormat chart="0" format="154" series="1">
      <pivotArea type="data" outline="0" fieldPosition="0">
        <references count="2">
          <reference field="4294967294" count="1" selected="0">
            <x v="0"/>
          </reference>
          <reference field="2" count="1" selected="0">
            <x v="3"/>
          </reference>
        </references>
      </pivotArea>
    </chartFormat>
    <chartFormat chart="0" format="155" series="1">
      <pivotArea type="data" outline="0" fieldPosition="0">
        <references count="2">
          <reference field="4294967294" count="1" selected="0">
            <x v="0"/>
          </reference>
          <reference field="2" count="1" selected="0">
            <x v="4"/>
          </reference>
        </references>
      </pivotArea>
    </chartFormat>
    <chartFormat chart="0" format="156" series="1">
      <pivotArea type="data" outline="0" fieldPosition="0">
        <references count="2">
          <reference field="4294967294" count="1" selected="0">
            <x v="0"/>
          </reference>
          <reference field="2" count="1" selected="0">
            <x v="5"/>
          </reference>
        </references>
      </pivotArea>
    </chartFormat>
    <chartFormat chart="0" format="157" series="1">
      <pivotArea type="data" outline="0" fieldPosition="0">
        <references count="2">
          <reference field="4294967294" count="1" selected="0">
            <x v="0"/>
          </reference>
          <reference field="2" count="1" selected="0">
            <x v="6"/>
          </reference>
        </references>
      </pivotArea>
    </chartFormat>
    <chartFormat chart="0" format="158" series="1">
      <pivotArea type="data" outline="0" fieldPosition="0">
        <references count="2">
          <reference field="4294967294" count="1" selected="0">
            <x v="0"/>
          </reference>
          <reference field="2" count="1" selected="0">
            <x v="7"/>
          </reference>
        </references>
      </pivotArea>
    </chartFormat>
    <chartFormat chart="0" format="159" series="1">
      <pivotArea type="data" outline="0" fieldPosition="0">
        <references count="1">
          <reference field="4294967294" count="1" selected="0">
            <x v="0"/>
          </reference>
        </references>
      </pivotArea>
    </chartFormat>
    <chartFormat chart="10" format="167" series="1">
      <pivotArea type="data" outline="0" fieldPosition="0">
        <references count="1">
          <reference field="4294967294" count="1" selected="0">
            <x v="0"/>
          </reference>
        </references>
      </pivotArea>
    </chartFormat>
    <chartFormat chart="10" format="168">
      <pivotArea type="data" outline="0" fieldPosition="0">
        <references count="3">
          <reference field="4294967294" count="1" selected="0">
            <x v="0"/>
          </reference>
          <reference field="2" count="1" selected="0">
            <x v="1"/>
          </reference>
          <reference field="4" count="1" selected="0">
            <x v="0"/>
          </reference>
        </references>
      </pivotArea>
    </chartFormat>
    <chartFormat chart="10" format="169">
      <pivotArea type="data" outline="0" fieldPosition="0">
        <references count="3">
          <reference field="4294967294" count="1" selected="0">
            <x v="0"/>
          </reference>
          <reference field="2" count="1" selected="0">
            <x v="2"/>
          </reference>
          <reference field="4" count="1" selected="0">
            <x v="0"/>
          </reference>
        </references>
      </pivotArea>
    </chartFormat>
    <chartFormat chart="10" format="170">
      <pivotArea type="data" outline="0" fieldPosition="0">
        <references count="3">
          <reference field="4294967294" count="1" selected="0">
            <x v="0"/>
          </reference>
          <reference field="2" count="1" selected="0">
            <x v="3"/>
          </reference>
          <reference field="4" count="1" selected="0">
            <x v="0"/>
          </reference>
        </references>
      </pivotArea>
    </chartFormat>
    <chartFormat chart="10" format="171">
      <pivotArea type="data" outline="0" fieldPosition="0">
        <references count="3">
          <reference field="4294967294" count="1" selected="0">
            <x v="0"/>
          </reference>
          <reference field="2" count="1" selected="0">
            <x v="4"/>
          </reference>
          <reference field="4" count="1" selected="0">
            <x v="0"/>
          </reference>
        </references>
      </pivotArea>
    </chartFormat>
    <chartFormat chart="10" format="172">
      <pivotArea type="data" outline="0" fieldPosition="0">
        <references count="3">
          <reference field="4294967294" count="1" selected="0">
            <x v="0"/>
          </reference>
          <reference field="2" count="1" selected="0">
            <x v="5"/>
          </reference>
          <reference field="4" count="1" selected="0">
            <x v="0"/>
          </reference>
        </references>
      </pivotArea>
    </chartFormat>
    <chartFormat chart="10" format="173">
      <pivotArea type="data" outline="0" fieldPosition="0">
        <references count="3">
          <reference field="4294967294" count="1" selected="0">
            <x v="0"/>
          </reference>
          <reference field="2" count="1" selected="0">
            <x v="7"/>
          </reference>
          <reference field="4" count="1" selected="0">
            <x v="0"/>
          </reference>
        </references>
      </pivotArea>
    </chartFormat>
    <chartFormat chart="0" format="160">
      <pivotArea type="data" outline="0" fieldPosition="0">
        <references count="3">
          <reference field="4294967294" count="1" selected="0">
            <x v="0"/>
          </reference>
          <reference field="2" count="1" selected="0">
            <x v="1"/>
          </reference>
          <reference field="4" count="1" selected="0">
            <x v="0"/>
          </reference>
        </references>
      </pivotArea>
    </chartFormat>
    <chartFormat chart="0" format="161">
      <pivotArea type="data" outline="0" fieldPosition="0">
        <references count="3">
          <reference field="4294967294" count="1" selected="0">
            <x v="0"/>
          </reference>
          <reference field="2" count="1" selected="0">
            <x v="2"/>
          </reference>
          <reference field="4" count="1" selected="0">
            <x v="0"/>
          </reference>
        </references>
      </pivotArea>
    </chartFormat>
    <chartFormat chart="0" format="162">
      <pivotArea type="data" outline="0" fieldPosition="0">
        <references count="3">
          <reference field="4294967294" count="1" selected="0">
            <x v="0"/>
          </reference>
          <reference field="2" count="1" selected="0">
            <x v="3"/>
          </reference>
          <reference field="4" count="1" selected="0">
            <x v="0"/>
          </reference>
        </references>
      </pivotArea>
    </chartFormat>
    <chartFormat chart="0" format="163">
      <pivotArea type="data" outline="0" fieldPosition="0">
        <references count="3">
          <reference field="4294967294" count="1" selected="0">
            <x v="0"/>
          </reference>
          <reference field="2" count="1" selected="0">
            <x v="4"/>
          </reference>
          <reference field="4" count="1" selected="0">
            <x v="0"/>
          </reference>
        </references>
      </pivotArea>
    </chartFormat>
    <chartFormat chart="0" format="164">
      <pivotArea type="data" outline="0" fieldPosition="0">
        <references count="3">
          <reference field="4294967294" count="1" selected="0">
            <x v="0"/>
          </reference>
          <reference field="2" count="1" selected="0">
            <x v="5"/>
          </reference>
          <reference field="4" count="1" selected="0">
            <x v="0"/>
          </reference>
        </references>
      </pivotArea>
    </chartFormat>
    <chartFormat chart="0" format="165">
      <pivotArea type="data" outline="0" fieldPosition="0">
        <references count="3">
          <reference field="4294967294" count="1" selected="0">
            <x v="0"/>
          </reference>
          <reference field="2" count="1" selected="0">
            <x v="7"/>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4FECCA-2600-4A9A-B422-17EF039CB5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J6:K19" firstHeaderRow="1" firstDataRow="1" firstDataCol="1" rowPageCount="1" colPageCount="1"/>
  <pivotFields count="8">
    <pivotField axis="axisRow" numFmtId="16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showAll="0">
      <items count="2">
        <item x="0"/>
        <item t="default"/>
      </items>
    </pivotField>
    <pivotField showAll="0">
      <items count="9">
        <item x="0"/>
        <item x="5"/>
        <item x="7"/>
        <item x="1"/>
        <item x="3"/>
        <item x="2"/>
        <item x="6"/>
        <item x="4"/>
        <item t="default"/>
      </items>
    </pivotField>
    <pivotField showAll="0">
      <items count="135">
        <item x="58"/>
        <item x="82"/>
        <item x="13"/>
        <item x="20"/>
        <item x="92"/>
        <item x="83"/>
        <item x="111"/>
        <item x="72"/>
        <item x="101"/>
        <item x="128"/>
        <item x="110"/>
        <item x="29"/>
        <item x="22"/>
        <item x="123"/>
        <item x="37"/>
        <item x="54"/>
        <item x="63"/>
        <item x="79"/>
        <item x="129"/>
        <item x="81"/>
        <item x="130"/>
        <item x="127"/>
        <item x="43"/>
        <item x="23"/>
        <item x="51"/>
        <item x="4"/>
        <item x="103"/>
        <item x="80"/>
        <item x="26"/>
        <item x="107"/>
        <item x="73"/>
        <item x="55"/>
        <item x="115"/>
        <item x="41"/>
        <item x="8"/>
        <item x="96"/>
        <item x="47"/>
        <item x="50"/>
        <item x="75"/>
        <item x="0"/>
        <item x="91"/>
        <item x="99"/>
        <item x="87"/>
        <item x="112"/>
        <item x="49"/>
        <item x="11"/>
        <item x="30"/>
        <item x="88"/>
        <item x="53"/>
        <item x="7"/>
        <item x="42"/>
        <item x="131"/>
        <item x="40"/>
        <item x="68"/>
        <item x="74"/>
        <item x="31"/>
        <item x="84"/>
        <item x="34"/>
        <item x="93"/>
        <item x="14"/>
        <item x="126"/>
        <item x="116"/>
        <item x="67"/>
        <item x="69"/>
        <item x="33"/>
        <item x="10"/>
        <item x="104"/>
        <item x="48"/>
        <item x="120"/>
        <item x="5"/>
        <item x="86"/>
        <item x="102"/>
        <item x="3"/>
        <item x="98"/>
        <item x="114"/>
        <item x="17"/>
        <item x="15"/>
        <item x="97"/>
        <item x="28"/>
        <item x="95"/>
        <item x="132"/>
        <item x="46"/>
        <item x="124"/>
        <item x="125"/>
        <item x="61"/>
        <item x="38"/>
        <item x="106"/>
        <item x="100"/>
        <item x="6"/>
        <item x="113"/>
        <item x="64"/>
        <item x="85"/>
        <item x="21"/>
        <item x="57"/>
        <item x="94"/>
        <item x="62"/>
        <item x="32"/>
        <item x="105"/>
        <item x="109"/>
        <item x="9"/>
        <item x="1"/>
        <item x="12"/>
        <item x="70"/>
        <item x="2"/>
        <item x="27"/>
        <item x="90"/>
        <item x="122"/>
        <item x="44"/>
        <item x="118"/>
        <item x="65"/>
        <item x="36"/>
        <item x="133"/>
        <item x="77"/>
        <item x="35"/>
        <item x="76"/>
        <item x="66"/>
        <item x="52"/>
        <item x="45"/>
        <item x="56"/>
        <item x="78"/>
        <item x="59"/>
        <item x="117"/>
        <item x="119"/>
        <item x="24"/>
        <item x="19"/>
        <item x="60"/>
        <item x="39"/>
        <item x="25"/>
        <item x="89"/>
        <item x="16"/>
        <item x="71"/>
        <item x="121"/>
        <item x="18"/>
        <item x="108"/>
        <item t="default"/>
      </items>
    </pivotField>
    <pivotField axis="axisPage" multipleItemSelectionAllowed="1" showAll="0">
      <items count="3">
        <item x="1"/>
        <item h="1" x="0"/>
        <item t="default"/>
      </items>
    </pivotField>
    <pivotField dataField="1" showAll="0">
      <items count="135">
        <item x="36"/>
        <item x="30"/>
        <item x="132"/>
        <item x="129"/>
        <item x="23"/>
        <item x="102"/>
        <item x="24"/>
        <item x="4"/>
        <item x="128"/>
        <item x="110"/>
        <item x="18"/>
        <item x="73"/>
        <item x="7"/>
        <item x="114"/>
        <item x="37"/>
        <item x="14"/>
        <item x="43"/>
        <item x="119"/>
        <item x="8"/>
        <item x="11"/>
        <item x="120"/>
        <item x="5"/>
        <item x="40"/>
        <item x="50"/>
        <item x="53"/>
        <item x="1"/>
        <item x="113"/>
        <item x="31"/>
        <item x="32"/>
        <item x="65"/>
        <item x="64"/>
        <item x="100"/>
        <item x="46"/>
        <item x="124"/>
        <item x="26"/>
        <item x="33"/>
        <item x="25"/>
        <item x="115"/>
        <item x="111"/>
        <item x="96"/>
        <item x="105"/>
        <item x="29"/>
        <item x="13"/>
        <item x="59"/>
        <item x="63"/>
        <item x="34"/>
        <item x="123"/>
        <item x="39"/>
        <item x="94"/>
        <item x="16"/>
        <item x="21"/>
        <item x="19"/>
        <item x="104"/>
        <item x="17"/>
        <item x="58"/>
        <item x="47"/>
        <item x="84"/>
        <item x="127"/>
        <item x="54"/>
        <item x="45"/>
        <item x="87"/>
        <item x="90"/>
        <item x="130"/>
        <item x="112"/>
        <item x="28"/>
        <item x="103"/>
        <item x="52"/>
        <item x="56"/>
        <item x="15"/>
        <item x="116"/>
        <item x="86"/>
        <item x="69"/>
        <item x="22"/>
        <item x="91"/>
        <item x="55"/>
        <item x="9"/>
        <item x="41"/>
        <item x="72"/>
        <item x="107"/>
        <item x="67"/>
        <item x="70"/>
        <item x="121"/>
        <item x="75"/>
        <item x="77"/>
        <item x="95"/>
        <item x="38"/>
        <item x="117"/>
        <item x="80"/>
        <item x="2"/>
        <item x="131"/>
        <item x="89"/>
        <item x="71"/>
        <item x="99"/>
        <item x="122"/>
        <item x="35"/>
        <item x="81"/>
        <item x="126"/>
        <item x="76"/>
        <item x="79"/>
        <item x="12"/>
        <item x="57"/>
        <item x="49"/>
        <item x="74"/>
        <item x="60"/>
        <item x="6"/>
        <item x="10"/>
        <item x="108"/>
        <item x="44"/>
        <item x="83"/>
        <item x="20"/>
        <item x="93"/>
        <item x="92"/>
        <item x="42"/>
        <item x="97"/>
        <item x="48"/>
        <item x="62"/>
        <item x="51"/>
        <item x="106"/>
        <item x="82"/>
        <item x="78"/>
        <item x="88"/>
        <item x="85"/>
        <item x="125"/>
        <item x="61"/>
        <item x="68"/>
        <item x="3"/>
        <item x="118"/>
        <item x="0"/>
        <item x="101"/>
        <item x="66"/>
        <item x="27"/>
        <item x="98"/>
        <item x="109"/>
        <item x="133"/>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7"/>
    <field x="6"/>
    <field x="0"/>
  </rowFields>
  <rowItems count="13">
    <i>
      <x v="1"/>
    </i>
    <i>
      <x v="2"/>
    </i>
    <i>
      <x v="3"/>
    </i>
    <i>
      <x v="4"/>
    </i>
    <i>
      <x v="5"/>
    </i>
    <i>
      <x v="6"/>
    </i>
    <i>
      <x v="7"/>
    </i>
    <i>
      <x v="8"/>
    </i>
    <i>
      <x v="9"/>
    </i>
    <i>
      <x v="10"/>
    </i>
    <i>
      <x v="11"/>
    </i>
    <i>
      <x v="12"/>
    </i>
    <i t="grand">
      <x/>
    </i>
  </rowItems>
  <colItems count="1">
    <i/>
  </colItems>
  <pageFields count="1">
    <pageField fld="4" hier="-1"/>
  </pageFields>
  <dataFields count="1">
    <dataField name="Sum of Debit/Credit" fld="5" baseField="0" baseItem="0"/>
  </dataFields>
  <chartFormats count="2">
    <chartFormat chart="0" format="7"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___Time" xr10:uid="{5F1F67A8-3678-4E43-9061-5712A828CD57}" sourceName="Months (Date / Time)">
  <pivotTables>
    <pivotTable tabId="2" name="PivotTable1"/>
    <pivotTable tabId="2" name="PivotTable3"/>
    <pivotTable tabId="2" name="PivotTable4"/>
  </pivotTables>
  <data>
    <tabular pivotCacheId="1581225229">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CAACE30-1B1D-4A77-8DB1-CC5A9B9D2F55}" sourceName="Category">
  <pivotTables>
    <pivotTable tabId="2" name="PivotTable3"/>
    <pivotTable tabId="2" name="PivotTable1"/>
    <pivotTable tabId="2" name="PivotTable4"/>
  </pivotTables>
  <data>
    <tabular pivotCacheId="1581225229">
      <items count="8">
        <i x="5" s="1"/>
        <i x="7" s="1"/>
        <i x="1" s="1"/>
        <i x="3" s="1"/>
        <i x="2" s="1"/>
        <i x="4" s="1"/>
        <i x="0"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 Time)" xr10:uid="{BFBA7DDF-62D4-4D1A-B7F2-E28FD5323CB5}" cache="Slicer_Months__Date___Time" caption="Months (Date / Time)" style="SlicerStyleDark3" rowHeight="241300"/>
  <slicer name="Category" xr10:uid="{766FE46D-B5FF-409D-A3A3-CC37CDA0C2BE}" cache="Slicer_Category" caption="Category" style="SlicerStyleDark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DBB12-C8CB-4B08-8991-39345C12E75C}">
  <dimension ref="A1:I227"/>
  <sheetViews>
    <sheetView topLeftCell="A201" workbookViewId="0">
      <selection activeCell="H227" sqref="H227"/>
    </sheetView>
  </sheetViews>
  <sheetFormatPr defaultRowHeight="15" x14ac:dyDescent="0.25"/>
  <cols>
    <col min="1" max="1" width="28.5703125" bestFit="1" customWidth="1"/>
    <col min="2" max="2" width="20.42578125" bestFit="1" customWidth="1"/>
    <col min="3" max="3" width="14.140625" bestFit="1" customWidth="1"/>
    <col min="4" max="4" width="40.42578125" bestFit="1" customWidth="1"/>
    <col min="5" max="5" width="16" bestFit="1" customWidth="1"/>
    <col min="6" max="7" width="12.140625" bestFit="1" customWidth="1"/>
    <col min="8" max="8" width="8.42578125" bestFit="1" customWidth="1"/>
  </cols>
  <sheetData>
    <row r="1" spans="1:8" x14ac:dyDescent="0.25">
      <c r="A1" s="2" t="s">
        <v>0</v>
      </c>
      <c r="B1" s="2" t="s">
        <v>1</v>
      </c>
      <c r="C1" s="2" t="s">
        <v>2</v>
      </c>
      <c r="D1" s="2" t="s">
        <v>3</v>
      </c>
      <c r="E1" s="2" t="s">
        <v>4</v>
      </c>
      <c r="F1" s="2" t="s">
        <v>5</v>
      </c>
      <c r="G1" s="2" t="s">
        <v>9</v>
      </c>
      <c r="H1" s="2" t="s">
        <v>12</v>
      </c>
    </row>
    <row r="2" spans="1:8" x14ac:dyDescent="0.25">
      <c r="A2" s="1">
        <v>44197.90625</v>
      </c>
      <c r="B2" t="s">
        <v>6</v>
      </c>
      <c r="C2" t="s">
        <v>7</v>
      </c>
      <c r="D2" t="s">
        <v>8</v>
      </c>
      <c r="E2" t="s">
        <v>9</v>
      </c>
      <c r="F2">
        <v>8000</v>
      </c>
      <c r="G2">
        <f>IF(E2="Income", F2, 0)</f>
        <v>8000</v>
      </c>
      <c r="H2">
        <f>IF(E2="Expense", F2, 0)</f>
        <v>0</v>
      </c>
    </row>
    <row r="3" spans="1:8" x14ac:dyDescent="0.25">
      <c r="A3" s="1">
        <v>44197.906944444447</v>
      </c>
      <c r="B3" t="s">
        <v>6</v>
      </c>
      <c r="C3" t="s">
        <v>10</v>
      </c>
      <c r="D3" t="s">
        <v>11</v>
      </c>
      <c r="E3" t="s">
        <v>12</v>
      </c>
      <c r="F3">
        <v>85</v>
      </c>
      <c r="G3">
        <f t="shared" ref="G3:G66" si="0">IF(E3="Income", F3, 0)</f>
        <v>0</v>
      </c>
      <c r="H3">
        <f t="shared" ref="H3:H66" si="1">IF(E3="Expense", F3, 0)</f>
        <v>85</v>
      </c>
    </row>
    <row r="4" spans="1:8" x14ac:dyDescent="0.25">
      <c r="A4" s="1">
        <v>44199.76458333333</v>
      </c>
      <c r="B4" t="s">
        <v>6</v>
      </c>
      <c r="C4" t="s">
        <v>13</v>
      </c>
      <c r="D4" t="s">
        <v>8</v>
      </c>
      <c r="E4" t="s">
        <v>9</v>
      </c>
      <c r="F4">
        <v>500</v>
      </c>
      <c r="G4">
        <f t="shared" si="0"/>
        <v>500</v>
      </c>
      <c r="H4">
        <f t="shared" si="1"/>
        <v>0</v>
      </c>
    </row>
    <row r="5" spans="1:8" x14ac:dyDescent="0.25">
      <c r="A5" s="1">
        <v>44199.765277777777</v>
      </c>
      <c r="B5" t="s">
        <v>6</v>
      </c>
      <c r="C5" t="s">
        <v>14</v>
      </c>
      <c r="D5" t="s">
        <v>15</v>
      </c>
      <c r="E5" t="s">
        <v>12</v>
      </c>
      <c r="F5">
        <v>6667</v>
      </c>
      <c r="G5">
        <f t="shared" si="0"/>
        <v>0</v>
      </c>
      <c r="H5">
        <f t="shared" si="1"/>
        <v>6667</v>
      </c>
    </row>
    <row r="6" spans="1:8" x14ac:dyDescent="0.25">
      <c r="A6" s="1">
        <v>44199.788888888892</v>
      </c>
      <c r="B6" t="s">
        <v>6</v>
      </c>
      <c r="C6" t="s">
        <v>16</v>
      </c>
      <c r="D6" t="s">
        <v>17</v>
      </c>
      <c r="E6" t="s">
        <v>12</v>
      </c>
      <c r="F6">
        <v>30</v>
      </c>
      <c r="G6">
        <f t="shared" si="0"/>
        <v>0</v>
      </c>
      <c r="H6">
        <f t="shared" si="1"/>
        <v>30</v>
      </c>
    </row>
    <row r="7" spans="1:8" x14ac:dyDescent="0.25">
      <c r="A7" s="1">
        <v>44199.826388888891</v>
      </c>
      <c r="B7" t="s">
        <v>6</v>
      </c>
      <c r="C7" t="s">
        <v>10</v>
      </c>
      <c r="D7" t="s">
        <v>18</v>
      </c>
      <c r="E7" t="s">
        <v>12</v>
      </c>
      <c r="F7">
        <v>78</v>
      </c>
      <c r="G7">
        <f t="shared" si="0"/>
        <v>0</v>
      </c>
      <c r="H7">
        <f t="shared" si="1"/>
        <v>78</v>
      </c>
    </row>
    <row r="8" spans="1:8" x14ac:dyDescent="0.25">
      <c r="A8" s="1">
        <v>44208.583333333336</v>
      </c>
      <c r="B8" t="s">
        <v>6</v>
      </c>
      <c r="C8" t="s">
        <v>10</v>
      </c>
      <c r="D8" t="s">
        <v>19</v>
      </c>
      <c r="E8" t="s">
        <v>12</v>
      </c>
      <c r="F8">
        <v>1460</v>
      </c>
      <c r="G8">
        <f t="shared" si="0"/>
        <v>0</v>
      </c>
      <c r="H8">
        <f t="shared" si="1"/>
        <v>1460</v>
      </c>
    </row>
    <row r="9" spans="1:8" x14ac:dyDescent="0.25">
      <c r="A9" s="1">
        <v>44209.740972222222</v>
      </c>
      <c r="B9" t="s">
        <v>6</v>
      </c>
      <c r="C9" t="s">
        <v>16</v>
      </c>
      <c r="D9" t="s">
        <v>20</v>
      </c>
      <c r="E9" t="s">
        <v>12</v>
      </c>
      <c r="F9">
        <v>43</v>
      </c>
      <c r="G9">
        <f t="shared" si="0"/>
        <v>0</v>
      </c>
      <c r="H9">
        <f t="shared" si="1"/>
        <v>43</v>
      </c>
    </row>
    <row r="10" spans="1:8" x14ac:dyDescent="0.25">
      <c r="A10" s="1">
        <v>44209.865277777775</v>
      </c>
      <c r="B10" t="s">
        <v>6</v>
      </c>
      <c r="C10" t="s">
        <v>10</v>
      </c>
      <c r="D10" t="s">
        <v>18</v>
      </c>
      <c r="E10" t="s">
        <v>12</v>
      </c>
      <c r="F10">
        <v>66</v>
      </c>
      <c r="G10">
        <f t="shared" si="0"/>
        <v>0</v>
      </c>
      <c r="H10">
        <f t="shared" si="1"/>
        <v>66</v>
      </c>
    </row>
    <row r="11" spans="1:8" x14ac:dyDescent="0.25">
      <c r="A11" s="1">
        <v>44210.705555555556</v>
      </c>
      <c r="B11" t="s">
        <v>6</v>
      </c>
      <c r="C11" t="s">
        <v>13</v>
      </c>
      <c r="D11" t="s">
        <v>21</v>
      </c>
      <c r="E11" t="s">
        <v>9</v>
      </c>
      <c r="F11">
        <v>340</v>
      </c>
      <c r="G11">
        <f t="shared" si="0"/>
        <v>340</v>
      </c>
      <c r="H11">
        <f t="shared" si="1"/>
        <v>0</v>
      </c>
    </row>
    <row r="12" spans="1:8" x14ac:dyDescent="0.25">
      <c r="A12" s="1">
        <v>44211.886111111111</v>
      </c>
      <c r="B12" t="s">
        <v>6</v>
      </c>
      <c r="C12" t="s">
        <v>13</v>
      </c>
      <c r="D12" t="s">
        <v>8</v>
      </c>
      <c r="E12" t="s">
        <v>9</v>
      </c>
      <c r="F12">
        <v>1500</v>
      </c>
      <c r="G12">
        <f t="shared" si="0"/>
        <v>1500</v>
      </c>
      <c r="H12">
        <f t="shared" si="1"/>
        <v>0</v>
      </c>
    </row>
    <row r="13" spans="1:8" x14ac:dyDescent="0.25">
      <c r="A13" s="1">
        <v>44211.886111111111</v>
      </c>
      <c r="B13" t="s">
        <v>6</v>
      </c>
      <c r="C13" t="s">
        <v>10</v>
      </c>
      <c r="D13" t="s">
        <v>11</v>
      </c>
      <c r="E13" t="s">
        <v>12</v>
      </c>
      <c r="F13">
        <v>70</v>
      </c>
      <c r="G13">
        <f t="shared" si="0"/>
        <v>0</v>
      </c>
      <c r="H13">
        <f t="shared" si="1"/>
        <v>70</v>
      </c>
    </row>
    <row r="14" spans="1:8" x14ac:dyDescent="0.25">
      <c r="A14" s="1">
        <v>44213.771527777775</v>
      </c>
      <c r="B14" t="s">
        <v>6</v>
      </c>
      <c r="C14" t="s">
        <v>10</v>
      </c>
      <c r="D14" t="s">
        <v>22</v>
      </c>
      <c r="E14" t="s">
        <v>12</v>
      </c>
      <c r="F14">
        <v>1100</v>
      </c>
      <c r="G14">
        <f t="shared" si="0"/>
        <v>0</v>
      </c>
      <c r="H14">
        <f t="shared" si="1"/>
        <v>1100</v>
      </c>
    </row>
    <row r="15" spans="1:8" x14ac:dyDescent="0.25">
      <c r="A15" s="1">
        <v>44214.57708333333</v>
      </c>
      <c r="B15" t="s">
        <v>6</v>
      </c>
      <c r="C15" t="s">
        <v>10</v>
      </c>
      <c r="D15" t="s">
        <v>19</v>
      </c>
      <c r="E15" t="s">
        <v>12</v>
      </c>
      <c r="F15">
        <v>148</v>
      </c>
      <c r="G15">
        <f t="shared" si="0"/>
        <v>0</v>
      </c>
      <c r="H15">
        <f t="shared" si="1"/>
        <v>148</v>
      </c>
    </row>
    <row r="16" spans="1:8" x14ac:dyDescent="0.25">
      <c r="A16" s="1">
        <v>44214.715277777781</v>
      </c>
      <c r="B16" t="s">
        <v>6</v>
      </c>
      <c r="C16" t="s">
        <v>10</v>
      </c>
      <c r="D16" t="s">
        <v>23</v>
      </c>
      <c r="E16" t="s">
        <v>12</v>
      </c>
      <c r="F16">
        <v>59</v>
      </c>
      <c r="G16">
        <f t="shared" si="0"/>
        <v>0</v>
      </c>
      <c r="H16">
        <f t="shared" si="1"/>
        <v>59</v>
      </c>
    </row>
    <row r="17" spans="1:8" x14ac:dyDescent="0.25">
      <c r="A17" s="1">
        <v>44214.870833333334</v>
      </c>
      <c r="B17" t="s">
        <v>6</v>
      </c>
      <c r="C17" t="s">
        <v>10</v>
      </c>
      <c r="D17" t="s">
        <v>18</v>
      </c>
      <c r="E17" t="s">
        <v>12</v>
      </c>
      <c r="F17">
        <v>301.14999999999998</v>
      </c>
      <c r="G17">
        <f t="shared" si="0"/>
        <v>0</v>
      </c>
      <c r="H17">
        <f t="shared" si="1"/>
        <v>301.14999999999998</v>
      </c>
    </row>
    <row r="18" spans="1:8" x14ac:dyDescent="0.25">
      <c r="A18" s="1">
        <v>44215.602083333331</v>
      </c>
      <c r="B18" t="s">
        <v>6</v>
      </c>
      <c r="C18" t="s">
        <v>10</v>
      </c>
      <c r="D18" t="s">
        <v>24</v>
      </c>
      <c r="E18" t="s">
        <v>12</v>
      </c>
      <c r="F18">
        <v>171</v>
      </c>
      <c r="G18">
        <f t="shared" si="0"/>
        <v>0</v>
      </c>
      <c r="H18">
        <f t="shared" si="1"/>
        <v>171</v>
      </c>
    </row>
    <row r="19" spans="1:8" x14ac:dyDescent="0.25">
      <c r="A19" s="1">
        <v>44217.490972222222</v>
      </c>
      <c r="B19" t="s">
        <v>6</v>
      </c>
      <c r="C19" t="s">
        <v>13</v>
      </c>
      <c r="D19" t="s">
        <v>25</v>
      </c>
      <c r="E19" t="s">
        <v>9</v>
      </c>
      <c r="F19">
        <v>200</v>
      </c>
      <c r="G19">
        <f t="shared" si="0"/>
        <v>200</v>
      </c>
      <c r="H19">
        <f t="shared" si="1"/>
        <v>0</v>
      </c>
    </row>
    <row r="20" spans="1:8" x14ac:dyDescent="0.25">
      <c r="A20" s="1">
        <v>44217.490972222222</v>
      </c>
      <c r="B20" t="s">
        <v>6</v>
      </c>
      <c r="C20" t="s">
        <v>10</v>
      </c>
      <c r="D20" t="s">
        <v>11</v>
      </c>
      <c r="E20" t="s">
        <v>12</v>
      </c>
      <c r="F20">
        <v>37</v>
      </c>
      <c r="G20">
        <f t="shared" si="0"/>
        <v>0</v>
      </c>
      <c r="H20">
        <f t="shared" si="1"/>
        <v>37</v>
      </c>
    </row>
    <row r="21" spans="1:8" x14ac:dyDescent="0.25">
      <c r="A21" s="1">
        <v>44217.598611111112</v>
      </c>
      <c r="B21" t="s">
        <v>6</v>
      </c>
      <c r="C21" t="s">
        <v>10</v>
      </c>
      <c r="D21" t="s">
        <v>19</v>
      </c>
      <c r="E21" t="s">
        <v>12</v>
      </c>
      <c r="F21">
        <v>188</v>
      </c>
      <c r="G21">
        <f t="shared" si="0"/>
        <v>0</v>
      </c>
      <c r="H21">
        <f t="shared" si="1"/>
        <v>188</v>
      </c>
    </row>
    <row r="22" spans="1:8" x14ac:dyDescent="0.25">
      <c r="A22" s="1">
        <v>44219.893750000003</v>
      </c>
      <c r="B22" t="s">
        <v>6</v>
      </c>
      <c r="C22" t="s">
        <v>13</v>
      </c>
      <c r="D22" t="s">
        <v>8</v>
      </c>
      <c r="E22" t="s">
        <v>9</v>
      </c>
      <c r="F22">
        <v>2000</v>
      </c>
      <c r="G22">
        <f t="shared" si="0"/>
        <v>2000</v>
      </c>
      <c r="H22">
        <f t="shared" si="1"/>
        <v>0</v>
      </c>
    </row>
    <row r="23" spans="1:8" x14ac:dyDescent="0.25">
      <c r="A23" s="1">
        <v>44219.893750000003</v>
      </c>
      <c r="B23" t="s">
        <v>6</v>
      </c>
      <c r="C23" t="s">
        <v>10</v>
      </c>
      <c r="D23" t="s">
        <v>26</v>
      </c>
      <c r="E23" t="s">
        <v>12</v>
      </c>
      <c r="F23">
        <v>176</v>
      </c>
      <c r="G23">
        <f t="shared" si="0"/>
        <v>0</v>
      </c>
      <c r="H23">
        <f t="shared" si="1"/>
        <v>176</v>
      </c>
    </row>
    <row r="24" spans="1:8" x14ac:dyDescent="0.25">
      <c r="A24" s="1">
        <v>44219.893750000003</v>
      </c>
      <c r="B24" t="s">
        <v>6</v>
      </c>
      <c r="C24" t="s">
        <v>56</v>
      </c>
      <c r="D24" t="s">
        <v>27</v>
      </c>
      <c r="E24" t="s">
        <v>12</v>
      </c>
      <c r="F24">
        <v>200</v>
      </c>
      <c r="G24">
        <f t="shared" si="0"/>
        <v>0</v>
      </c>
      <c r="H24">
        <f t="shared" si="1"/>
        <v>200</v>
      </c>
    </row>
    <row r="25" spans="1:8" x14ac:dyDescent="0.25">
      <c r="A25" s="1">
        <v>44219.895138888889</v>
      </c>
      <c r="B25" t="s">
        <v>6</v>
      </c>
      <c r="C25" t="s">
        <v>13</v>
      </c>
      <c r="D25" t="s">
        <v>25</v>
      </c>
      <c r="E25" t="s">
        <v>9</v>
      </c>
      <c r="F25">
        <v>310</v>
      </c>
      <c r="G25">
        <f t="shared" si="0"/>
        <v>310</v>
      </c>
      <c r="H25">
        <f t="shared" si="1"/>
        <v>0</v>
      </c>
    </row>
    <row r="26" spans="1:8" x14ac:dyDescent="0.25">
      <c r="A26" s="1">
        <v>44221.432638888888</v>
      </c>
      <c r="B26" t="s">
        <v>6</v>
      </c>
      <c r="C26" t="s">
        <v>10</v>
      </c>
      <c r="D26" t="s">
        <v>28</v>
      </c>
      <c r="E26" t="s">
        <v>12</v>
      </c>
      <c r="F26">
        <v>18</v>
      </c>
      <c r="G26">
        <f t="shared" si="0"/>
        <v>0</v>
      </c>
      <c r="H26">
        <f t="shared" si="1"/>
        <v>18</v>
      </c>
    </row>
    <row r="27" spans="1:8" x14ac:dyDescent="0.25">
      <c r="A27" s="1">
        <v>44222.702777777777</v>
      </c>
      <c r="B27" t="s">
        <v>6</v>
      </c>
      <c r="C27" t="s">
        <v>10</v>
      </c>
      <c r="D27" t="s">
        <v>29</v>
      </c>
      <c r="E27" t="s">
        <v>12</v>
      </c>
      <c r="F27">
        <v>25</v>
      </c>
      <c r="G27">
        <f t="shared" si="0"/>
        <v>0</v>
      </c>
      <c r="H27">
        <f t="shared" si="1"/>
        <v>25</v>
      </c>
    </row>
    <row r="28" spans="1:8" x14ac:dyDescent="0.25">
      <c r="A28" s="1">
        <v>44222.739583333336</v>
      </c>
      <c r="B28" t="s">
        <v>6</v>
      </c>
      <c r="C28" t="s">
        <v>13</v>
      </c>
      <c r="D28" t="s">
        <v>30</v>
      </c>
      <c r="E28" t="s">
        <v>9</v>
      </c>
      <c r="F28">
        <v>125</v>
      </c>
      <c r="G28">
        <f t="shared" si="0"/>
        <v>125</v>
      </c>
      <c r="H28">
        <f t="shared" si="1"/>
        <v>0</v>
      </c>
    </row>
    <row r="29" spans="1:8" x14ac:dyDescent="0.25">
      <c r="A29" s="1">
        <v>44222.739583333336</v>
      </c>
      <c r="B29" t="s">
        <v>6</v>
      </c>
      <c r="C29" t="s">
        <v>10</v>
      </c>
      <c r="D29" t="s">
        <v>11</v>
      </c>
      <c r="E29" t="s">
        <v>12</v>
      </c>
      <c r="F29">
        <v>115</v>
      </c>
      <c r="G29">
        <f t="shared" si="0"/>
        <v>0</v>
      </c>
      <c r="H29">
        <f t="shared" si="1"/>
        <v>115</v>
      </c>
    </row>
    <row r="30" spans="1:8" x14ac:dyDescent="0.25">
      <c r="A30" s="1">
        <v>44223.568055555559</v>
      </c>
      <c r="B30" t="s">
        <v>6</v>
      </c>
      <c r="C30" t="s">
        <v>78</v>
      </c>
      <c r="D30" t="s">
        <v>31</v>
      </c>
      <c r="E30" t="s">
        <v>9</v>
      </c>
      <c r="F30">
        <v>55000</v>
      </c>
      <c r="G30">
        <f t="shared" si="0"/>
        <v>55000</v>
      </c>
      <c r="H30">
        <f t="shared" si="1"/>
        <v>0</v>
      </c>
    </row>
    <row r="31" spans="1:8" x14ac:dyDescent="0.25">
      <c r="A31" s="1">
        <v>44223.568749999999</v>
      </c>
      <c r="B31" t="s">
        <v>6</v>
      </c>
      <c r="C31" t="s">
        <v>10</v>
      </c>
      <c r="D31" t="s">
        <v>32</v>
      </c>
      <c r="E31" t="s">
        <v>12</v>
      </c>
      <c r="F31">
        <v>279</v>
      </c>
      <c r="G31">
        <f t="shared" si="0"/>
        <v>0</v>
      </c>
      <c r="H31">
        <f t="shared" si="1"/>
        <v>279</v>
      </c>
    </row>
    <row r="32" spans="1:8" x14ac:dyDescent="0.25">
      <c r="A32" s="1">
        <v>44223.570138888892</v>
      </c>
      <c r="B32" t="s">
        <v>6</v>
      </c>
      <c r="C32" t="s">
        <v>13</v>
      </c>
      <c r="D32" t="s">
        <v>33</v>
      </c>
      <c r="E32" t="s">
        <v>12</v>
      </c>
      <c r="F32">
        <v>1100</v>
      </c>
      <c r="G32">
        <f t="shared" si="0"/>
        <v>0</v>
      </c>
      <c r="H32">
        <f t="shared" si="1"/>
        <v>1100</v>
      </c>
    </row>
    <row r="33" spans="1:8" x14ac:dyDescent="0.25">
      <c r="A33" s="1">
        <v>44224.599305555559</v>
      </c>
      <c r="B33" t="s">
        <v>6</v>
      </c>
      <c r="C33" t="s">
        <v>10</v>
      </c>
      <c r="D33" t="s">
        <v>19</v>
      </c>
      <c r="E33" t="s">
        <v>12</v>
      </c>
      <c r="F33">
        <v>138</v>
      </c>
      <c r="G33">
        <f t="shared" si="0"/>
        <v>0</v>
      </c>
      <c r="H33">
        <f t="shared" si="1"/>
        <v>138</v>
      </c>
    </row>
    <row r="34" spans="1:8" x14ac:dyDescent="0.25">
      <c r="A34" s="1">
        <v>44224.915277777778</v>
      </c>
      <c r="B34" t="s">
        <v>6</v>
      </c>
      <c r="C34" t="s">
        <v>10</v>
      </c>
      <c r="D34" t="s">
        <v>34</v>
      </c>
      <c r="E34" t="s">
        <v>12</v>
      </c>
      <c r="F34">
        <v>10</v>
      </c>
      <c r="G34">
        <f t="shared" si="0"/>
        <v>0</v>
      </c>
      <c r="H34">
        <f t="shared" si="1"/>
        <v>10</v>
      </c>
    </row>
    <row r="35" spans="1:8" x14ac:dyDescent="0.25">
      <c r="A35" s="1">
        <v>44225.613888888889</v>
      </c>
      <c r="B35" t="s">
        <v>6</v>
      </c>
      <c r="C35" t="s">
        <v>13</v>
      </c>
      <c r="D35" t="s">
        <v>35</v>
      </c>
      <c r="E35" t="s">
        <v>12</v>
      </c>
      <c r="F35">
        <v>100</v>
      </c>
      <c r="G35">
        <f t="shared" si="0"/>
        <v>0</v>
      </c>
      <c r="H35">
        <f t="shared" si="1"/>
        <v>100</v>
      </c>
    </row>
    <row r="36" spans="1:8" x14ac:dyDescent="0.25">
      <c r="A36" s="1">
        <v>44226.519444444442</v>
      </c>
      <c r="B36" t="s">
        <v>6</v>
      </c>
      <c r="C36" t="s">
        <v>10</v>
      </c>
      <c r="D36" t="s">
        <v>36</v>
      </c>
      <c r="E36" t="s">
        <v>12</v>
      </c>
      <c r="F36">
        <v>105</v>
      </c>
      <c r="G36">
        <f t="shared" si="0"/>
        <v>0</v>
      </c>
      <c r="H36">
        <f t="shared" si="1"/>
        <v>105</v>
      </c>
    </row>
    <row r="37" spans="1:8" x14ac:dyDescent="0.25">
      <c r="A37" s="1">
        <v>44226.792361111111</v>
      </c>
      <c r="B37" t="s">
        <v>6</v>
      </c>
      <c r="C37" t="s">
        <v>10</v>
      </c>
      <c r="D37" t="s">
        <v>37</v>
      </c>
      <c r="E37" t="s">
        <v>12</v>
      </c>
      <c r="F37">
        <v>120</v>
      </c>
      <c r="G37">
        <f t="shared" si="0"/>
        <v>0</v>
      </c>
      <c r="H37">
        <f t="shared" si="1"/>
        <v>120</v>
      </c>
    </row>
    <row r="38" spans="1:8" x14ac:dyDescent="0.25">
      <c r="A38" s="1">
        <v>44226.803472222222</v>
      </c>
      <c r="B38" t="s">
        <v>6</v>
      </c>
      <c r="C38" t="s">
        <v>10</v>
      </c>
      <c r="D38" t="s">
        <v>18</v>
      </c>
      <c r="E38" t="s">
        <v>12</v>
      </c>
      <c r="F38">
        <v>155</v>
      </c>
      <c r="G38">
        <f t="shared" si="0"/>
        <v>0</v>
      </c>
      <c r="H38">
        <f t="shared" si="1"/>
        <v>155</v>
      </c>
    </row>
    <row r="39" spans="1:8" x14ac:dyDescent="0.25">
      <c r="A39" s="1">
        <v>44227.352083333331</v>
      </c>
      <c r="B39" t="s">
        <v>6</v>
      </c>
      <c r="C39" t="s">
        <v>13</v>
      </c>
      <c r="D39" t="s">
        <v>38</v>
      </c>
      <c r="E39" t="s">
        <v>12</v>
      </c>
      <c r="F39">
        <v>200</v>
      </c>
      <c r="G39">
        <f t="shared" si="0"/>
        <v>0</v>
      </c>
      <c r="H39">
        <f t="shared" si="1"/>
        <v>200</v>
      </c>
    </row>
    <row r="40" spans="1:8" x14ac:dyDescent="0.25">
      <c r="A40" s="1">
        <v>44228.594444444447</v>
      </c>
      <c r="B40" t="s">
        <v>6</v>
      </c>
      <c r="C40" t="s">
        <v>16</v>
      </c>
      <c r="D40" t="s">
        <v>39</v>
      </c>
      <c r="E40" t="s">
        <v>12</v>
      </c>
      <c r="F40">
        <v>725</v>
      </c>
      <c r="G40">
        <f t="shared" si="0"/>
        <v>0</v>
      </c>
      <c r="H40">
        <f t="shared" si="1"/>
        <v>725</v>
      </c>
    </row>
    <row r="41" spans="1:8" x14ac:dyDescent="0.25">
      <c r="A41" s="1">
        <v>44228.855555555558</v>
      </c>
      <c r="B41" t="s">
        <v>6</v>
      </c>
      <c r="C41" t="s">
        <v>10</v>
      </c>
      <c r="D41" t="s">
        <v>40</v>
      </c>
      <c r="E41" t="s">
        <v>12</v>
      </c>
      <c r="F41">
        <v>200</v>
      </c>
      <c r="G41">
        <f t="shared" si="0"/>
        <v>0</v>
      </c>
      <c r="H41">
        <f t="shared" si="1"/>
        <v>200</v>
      </c>
    </row>
    <row r="42" spans="1:8" x14ac:dyDescent="0.25">
      <c r="A42" s="1">
        <v>44228.856249999997</v>
      </c>
      <c r="B42" t="s">
        <v>6</v>
      </c>
      <c r="C42" t="s">
        <v>13</v>
      </c>
      <c r="D42" t="s">
        <v>41</v>
      </c>
      <c r="E42" t="s">
        <v>12</v>
      </c>
      <c r="F42">
        <v>8</v>
      </c>
      <c r="G42">
        <f t="shared" si="0"/>
        <v>0</v>
      </c>
      <c r="H42">
        <f t="shared" si="1"/>
        <v>8</v>
      </c>
    </row>
    <row r="43" spans="1:8" x14ac:dyDescent="0.25">
      <c r="A43" s="1">
        <v>44229.84375</v>
      </c>
      <c r="B43" t="s">
        <v>6</v>
      </c>
      <c r="C43" t="s">
        <v>10</v>
      </c>
      <c r="D43" t="s">
        <v>42</v>
      </c>
      <c r="E43" t="s">
        <v>12</v>
      </c>
      <c r="F43">
        <v>120</v>
      </c>
      <c r="G43">
        <f t="shared" si="0"/>
        <v>0</v>
      </c>
      <c r="H43">
        <f t="shared" si="1"/>
        <v>120</v>
      </c>
    </row>
    <row r="44" spans="1:8" x14ac:dyDescent="0.25">
      <c r="A44" s="1">
        <v>44230.424305555556</v>
      </c>
      <c r="B44" t="s">
        <v>6</v>
      </c>
      <c r="C44" t="s">
        <v>10</v>
      </c>
      <c r="D44" t="s">
        <v>43</v>
      </c>
      <c r="E44" t="s">
        <v>12</v>
      </c>
      <c r="F44">
        <v>50</v>
      </c>
      <c r="G44">
        <f t="shared" si="0"/>
        <v>0</v>
      </c>
      <c r="H44">
        <f t="shared" si="1"/>
        <v>50</v>
      </c>
    </row>
    <row r="45" spans="1:8" x14ac:dyDescent="0.25">
      <c r="A45" s="1">
        <v>44240.912499999999</v>
      </c>
      <c r="B45" t="s">
        <v>6</v>
      </c>
      <c r="C45" t="s">
        <v>56</v>
      </c>
      <c r="D45" t="s">
        <v>44</v>
      </c>
      <c r="E45" t="s">
        <v>12</v>
      </c>
      <c r="F45">
        <v>100</v>
      </c>
      <c r="G45">
        <f t="shared" si="0"/>
        <v>0</v>
      </c>
      <c r="H45">
        <f t="shared" si="1"/>
        <v>100</v>
      </c>
    </row>
    <row r="46" spans="1:8" x14ac:dyDescent="0.25">
      <c r="A46" s="1">
        <v>44243.706250000003</v>
      </c>
      <c r="B46" t="s">
        <v>6</v>
      </c>
      <c r="C46" t="s">
        <v>10</v>
      </c>
      <c r="D46" t="s">
        <v>45</v>
      </c>
      <c r="E46" t="s">
        <v>12</v>
      </c>
      <c r="F46">
        <v>475</v>
      </c>
      <c r="G46">
        <f t="shared" si="0"/>
        <v>0</v>
      </c>
      <c r="H46">
        <f t="shared" si="1"/>
        <v>475</v>
      </c>
    </row>
    <row r="47" spans="1:8" x14ac:dyDescent="0.25">
      <c r="A47" s="1">
        <v>44243.706250000003</v>
      </c>
      <c r="B47" t="s">
        <v>6</v>
      </c>
      <c r="C47" t="s">
        <v>10</v>
      </c>
      <c r="D47" t="s">
        <v>46</v>
      </c>
      <c r="E47" t="s">
        <v>12</v>
      </c>
      <c r="F47">
        <v>165</v>
      </c>
      <c r="G47">
        <f t="shared" si="0"/>
        <v>0</v>
      </c>
      <c r="H47">
        <f t="shared" si="1"/>
        <v>165</v>
      </c>
    </row>
    <row r="48" spans="1:8" x14ac:dyDescent="0.25">
      <c r="A48" s="1">
        <v>44244.549305555556</v>
      </c>
      <c r="B48" t="s">
        <v>6</v>
      </c>
      <c r="C48" t="s">
        <v>10</v>
      </c>
      <c r="D48" t="s">
        <v>47</v>
      </c>
      <c r="E48" t="s">
        <v>12</v>
      </c>
      <c r="F48">
        <v>80</v>
      </c>
      <c r="G48">
        <f t="shared" si="0"/>
        <v>0</v>
      </c>
      <c r="H48">
        <f t="shared" si="1"/>
        <v>80</v>
      </c>
    </row>
    <row r="49" spans="1:8" x14ac:dyDescent="0.25">
      <c r="A49" s="1">
        <v>44245.959027777775</v>
      </c>
      <c r="B49" t="s">
        <v>6</v>
      </c>
      <c r="C49" t="s">
        <v>10</v>
      </c>
      <c r="D49" t="s">
        <v>48</v>
      </c>
      <c r="E49" t="s">
        <v>12</v>
      </c>
      <c r="F49">
        <v>348</v>
      </c>
      <c r="G49">
        <f t="shared" si="0"/>
        <v>0</v>
      </c>
      <c r="H49">
        <f t="shared" si="1"/>
        <v>348</v>
      </c>
    </row>
    <row r="50" spans="1:8" x14ac:dyDescent="0.25">
      <c r="A50" s="1">
        <v>44246.262499999997</v>
      </c>
      <c r="B50" t="s">
        <v>6</v>
      </c>
      <c r="C50" t="s">
        <v>16</v>
      </c>
      <c r="D50" t="s">
        <v>49</v>
      </c>
      <c r="E50" t="s">
        <v>12</v>
      </c>
      <c r="F50">
        <v>2709</v>
      </c>
      <c r="G50">
        <f t="shared" si="0"/>
        <v>0</v>
      </c>
      <c r="H50">
        <f t="shared" si="1"/>
        <v>2709</v>
      </c>
    </row>
    <row r="51" spans="1:8" x14ac:dyDescent="0.25">
      <c r="A51" s="1">
        <v>44246.268750000003</v>
      </c>
      <c r="B51" t="s">
        <v>6</v>
      </c>
      <c r="C51" t="s">
        <v>13</v>
      </c>
      <c r="D51" t="s">
        <v>50</v>
      </c>
      <c r="E51" t="s">
        <v>12</v>
      </c>
      <c r="F51">
        <v>50</v>
      </c>
      <c r="G51">
        <f t="shared" si="0"/>
        <v>0</v>
      </c>
      <c r="H51">
        <f t="shared" si="1"/>
        <v>50</v>
      </c>
    </row>
    <row r="52" spans="1:8" x14ac:dyDescent="0.25">
      <c r="A52" s="1">
        <v>44246.351388888892</v>
      </c>
      <c r="B52" t="s">
        <v>6</v>
      </c>
      <c r="C52" t="s">
        <v>16</v>
      </c>
      <c r="D52" t="s">
        <v>17</v>
      </c>
      <c r="E52" t="s">
        <v>12</v>
      </c>
      <c r="F52">
        <v>60</v>
      </c>
      <c r="G52">
        <f t="shared" si="0"/>
        <v>0</v>
      </c>
      <c r="H52">
        <f t="shared" si="1"/>
        <v>60</v>
      </c>
    </row>
    <row r="53" spans="1:8" x14ac:dyDescent="0.25">
      <c r="A53" s="1">
        <v>44246.899305555555</v>
      </c>
      <c r="B53" t="s">
        <v>6</v>
      </c>
      <c r="C53" t="s">
        <v>16</v>
      </c>
      <c r="D53" t="s">
        <v>51</v>
      </c>
      <c r="E53" t="s">
        <v>12</v>
      </c>
      <c r="F53">
        <v>1575</v>
      </c>
      <c r="G53">
        <f t="shared" si="0"/>
        <v>0</v>
      </c>
      <c r="H53">
        <f t="shared" si="1"/>
        <v>1575</v>
      </c>
    </row>
    <row r="54" spans="1:8" x14ac:dyDescent="0.25">
      <c r="A54" s="1">
        <v>44246.914583333331</v>
      </c>
      <c r="B54" t="s">
        <v>6</v>
      </c>
      <c r="C54" t="s">
        <v>10</v>
      </c>
      <c r="D54" t="s">
        <v>11</v>
      </c>
      <c r="E54" t="s">
        <v>12</v>
      </c>
      <c r="F54">
        <v>250</v>
      </c>
      <c r="G54">
        <f t="shared" si="0"/>
        <v>0</v>
      </c>
      <c r="H54">
        <f t="shared" si="1"/>
        <v>250</v>
      </c>
    </row>
    <row r="55" spans="1:8" x14ac:dyDescent="0.25">
      <c r="A55" s="1">
        <v>44246.960416666669</v>
      </c>
      <c r="B55" t="s">
        <v>6</v>
      </c>
      <c r="C55" t="s">
        <v>10</v>
      </c>
      <c r="D55" t="s">
        <v>52</v>
      </c>
      <c r="E55" t="s">
        <v>12</v>
      </c>
      <c r="F55">
        <v>111</v>
      </c>
      <c r="G55">
        <f t="shared" si="0"/>
        <v>0</v>
      </c>
      <c r="H55">
        <f t="shared" si="1"/>
        <v>111</v>
      </c>
    </row>
    <row r="56" spans="1:8" x14ac:dyDescent="0.25">
      <c r="A56" s="1">
        <v>44247.64166666667</v>
      </c>
      <c r="B56" t="s">
        <v>6</v>
      </c>
      <c r="C56" t="s">
        <v>10</v>
      </c>
      <c r="D56" t="s">
        <v>47</v>
      </c>
      <c r="E56" t="s">
        <v>12</v>
      </c>
      <c r="F56">
        <v>200</v>
      </c>
      <c r="G56">
        <f t="shared" si="0"/>
        <v>0</v>
      </c>
      <c r="H56">
        <f t="shared" si="1"/>
        <v>200</v>
      </c>
    </row>
    <row r="57" spans="1:8" x14ac:dyDescent="0.25">
      <c r="A57" s="1">
        <v>44248.651388888888</v>
      </c>
      <c r="B57" t="s">
        <v>6</v>
      </c>
      <c r="C57" t="s">
        <v>16</v>
      </c>
      <c r="D57" t="s">
        <v>53</v>
      </c>
      <c r="E57" t="s">
        <v>12</v>
      </c>
      <c r="F57">
        <v>201.8</v>
      </c>
      <c r="G57">
        <f t="shared" si="0"/>
        <v>0</v>
      </c>
      <c r="H57">
        <f t="shared" si="1"/>
        <v>201.8</v>
      </c>
    </row>
    <row r="58" spans="1:8" x14ac:dyDescent="0.25">
      <c r="A58" s="1">
        <v>44248.652777777781</v>
      </c>
      <c r="B58" t="s">
        <v>6</v>
      </c>
      <c r="C58" t="s">
        <v>14</v>
      </c>
      <c r="D58" t="s">
        <v>15</v>
      </c>
      <c r="E58" t="s">
        <v>12</v>
      </c>
      <c r="F58">
        <v>3336</v>
      </c>
      <c r="G58">
        <f t="shared" si="0"/>
        <v>0</v>
      </c>
      <c r="H58">
        <f t="shared" si="1"/>
        <v>3336</v>
      </c>
    </row>
    <row r="59" spans="1:8" x14ac:dyDescent="0.25">
      <c r="A59" s="1">
        <v>44248.927083333336</v>
      </c>
      <c r="B59" t="s">
        <v>6</v>
      </c>
      <c r="C59" t="s">
        <v>16</v>
      </c>
      <c r="D59" t="s">
        <v>54</v>
      </c>
      <c r="E59" t="s">
        <v>12</v>
      </c>
      <c r="F59">
        <v>1300</v>
      </c>
      <c r="G59">
        <f t="shared" si="0"/>
        <v>0</v>
      </c>
      <c r="H59">
        <f t="shared" si="1"/>
        <v>1300</v>
      </c>
    </row>
    <row r="60" spans="1:8" x14ac:dyDescent="0.25">
      <c r="A60" s="1">
        <v>44250.67083333333</v>
      </c>
      <c r="B60" t="s">
        <v>6</v>
      </c>
      <c r="C60" t="s">
        <v>10</v>
      </c>
      <c r="D60" t="s">
        <v>55</v>
      </c>
      <c r="E60" t="s">
        <v>12</v>
      </c>
      <c r="F60">
        <v>83</v>
      </c>
      <c r="G60">
        <f t="shared" si="0"/>
        <v>0</v>
      </c>
      <c r="H60">
        <f t="shared" si="1"/>
        <v>83</v>
      </c>
    </row>
    <row r="61" spans="1:8" x14ac:dyDescent="0.25">
      <c r="A61" s="1">
        <v>44250.732638888891</v>
      </c>
      <c r="B61" t="s">
        <v>6</v>
      </c>
      <c r="C61" t="s">
        <v>56</v>
      </c>
      <c r="D61" t="s">
        <v>57</v>
      </c>
      <c r="E61" t="s">
        <v>12</v>
      </c>
      <c r="F61">
        <v>3999</v>
      </c>
      <c r="G61">
        <f t="shared" si="0"/>
        <v>0</v>
      </c>
      <c r="H61">
        <f t="shared" si="1"/>
        <v>3999</v>
      </c>
    </row>
    <row r="62" spans="1:8" x14ac:dyDescent="0.25">
      <c r="A62" s="1">
        <v>44251.931250000001</v>
      </c>
      <c r="B62" t="s">
        <v>6</v>
      </c>
      <c r="C62" t="s">
        <v>10</v>
      </c>
      <c r="D62" t="s">
        <v>58</v>
      </c>
      <c r="E62" t="s">
        <v>12</v>
      </c>
      <c r="F62">
        <v>289</v>
      </c>
      <c r="G62">
        <f t="shared" si="0"/>
        <v>0</v>
      </c>
      <c r="H62">
        <f t="shared" si="1"/>
        <v>289</v>
      </c>
    </row>
    <row r="63" spans="1:8" x14ac:dyDescent="0.25">
      <c r="A63" s="1">
        <v>44253.068749999999</v>
      </c>
      <c r="B63" t="s">
        <v>6</v>
      </c>
      <c r="C63" t="s">
        <v>10</v>
      </c>
      <c r="D63" t="s">
        <v>59</v>
      </c>
      <c r="E63" t="s">
        <v>12</v>
      </c>
      <c r="F63">
        <v>84</v>
      </c>
      <c r="G63">
        <f t="shared" si="0"/>
        <v>0</v>
      </c>
      <c r="H63">
        <f t="shared" si="1"/>
        <v>84</v>
      </c>
    </row>
    <row r="64" spans="1:8" x14ac:dyDescent="0.25">
      <c r="A64" s="1">
        <v>44253.734027777777</v>
      </c>
      <c r="B64" t="s">
        <v>6</v>
      </c>
      <c r="C64" t="s">
        <v>13</v>
      </c>
      <c r="D64" t="s">
        <v>60</v>
      </c>
      <c r="E64" t="s">
        <v>12</v>
      </c>
      <c r="F64">
        <v>100</v>
      </c>
      <c r="G64">
        <f t="shared" si="0"/>
        <v>0</v>
      </c>
      <c r="H64">
        <f t="shared" si="1"/>
        <v>100</v>
      </c>
    </row>
    <row r="65" spans="1:8" x14ac:dyDescent="0.25">
      <c r="A65" s="1">
        <v>44254.645138888889</v>
      </c>
      <c r="B65" t="s">
        <v>6</v>
      </c>
      <c r="C65" t="s">
        <v>10</v>
      </c>
      <c r="D65" t="s">
        <v>47</v>
      </c>
      <c r="E65" t="s">
        <v>12</v>
      </c>
      <c r="F65">
        <v>243</v>
      </c>
      <c r="G65">
        <f t="shared" si="0"/>
        <v>0</v>
      </c>
      <c r="H65">
        <f t="shared" si="1"/>
        <v>243</v>
      </c>
    </row>
    <row r="66" spans="1:8" x14ac:dyDescent="0.25">
      <c r="A66" s="1">
        <v>44255.489583333336</v>
      </c>
      <c r="B66" t="s">
        <v>6</v>
      </c>
      <c r="C66" t="s">
        <v>78</v>
      </c>
      <c r="D66" t="s">
        <v>31</v>
      </c>
      <c r="E66" t="s">
        <v>9</v>
      </c>
      <c r="F66">
        <v>55000</v>
      </c>
      <c r="G66">
        <f t="shared" si="0"/>
        <v>55000</v>
      </c>
      <c r="H66">
        <f t="shared" si="1"/>
        <v>0</v>
      </c>
    </row>
    <row r="67" spans="1:8" x14ac:dyDescent="0.25">
      <c r="A67" s="1">
        <v>44255.49722222222</v>
      </c>
      <c r="B67" t="s">
        <v>6</v>
      </c>
      <c r="C67" t="s">
        <v>10</v>
      </c>
      <c r="D67" t="s">
        <v>61</v>
      </c>
      <c r="E67" t="s">
        <v>12</v>
      </c>
      <c r="F67">
        <v>339.15</v>
      </c>
      <c r="G67">
        <f t="shared" ref="G67:G130" si="2">IF(E67="Income", F67, 0)</f>
        <v>0</v>
      </c>
      <c r="H67">
        <f t="shared" ref="H67:H130" si="3">IF(E67="Expense", F67, 0)</f>
        <v>339.15</v>
      </c>
    </row>
    <row r="68" spans="1:8" x14ac:dyDescent="0.25">
      <c r="A68" s="1">
        <v>44256.604166666664</v>
      </c>
      <c r="B68" t="s">
        <v>6</v>
      </c>
      <c r="C68" t="s">
        <v>13</v>
      </c>
      <c r="D68" t="s">
        <v>62</v>
      </c>
      <c r="E68" t="s">
        <v>9</v>
      </c>
      <c r="F68">
        <v>300</v>
      </c>
      <c r="G68">
        <f t="shared" si="2"/>
        <v>300</v>
      </c>
      <c r="H68">
        <f t="shared" si="3"/>
        <v>0</v>
      </c>
    </row>
    <row r="69" spans="1:8" x14ac:dyDescent="0.25">
      <c r="A69" s="1">
        <v>44256.604861111111</v>
      </c>
      <c r="B69" t="s">
        <v>6</v>
      </c>
      <c r="C69" t="s">
        <v>10</v>
      </c>
      <c r="D69" t="s">
        <v>63</v>
      </c>
      <c r="E69" t="s">
        <v>12</v>
      </c>
      <c r="F69">
        <v>300</v>
      </c>
      <c r="G69">
        <f t="shared" si="2"/>
        <v>0</v>
      </c>
      <c r="H69">
        <f t="shared" si="3"/>
        <v>300</v>
      </c>
    </row>
    <row r="70" spans="1:8" x14ac:dyDescent="0.25">
      <c r="A70" s="1">
        <v>44256.882638888892</v>
      </c>
      <c r="B70" t="s">
        <v>6</v>
      </c>
      <c r="C70" t="s">
        <v>13</v>
      </c>
      <c r="D70" t="s">
        <v>64</v>
      </c>
      <c r="E70" t="s">
        <v>9</v>
      </c>
      <c r="F70">
        <v>1140</v>
      </c>
      <c r="G70">
        <f t="shared" si="2"/>
        <v>1140</v>
      </c>
      <c r="H70">
        <f t="shared" si="3"/>
        <v>0</v>
      </c>
    </row>
    <row r="71" spans="1:8" x14ac:dyDescent="0.25">
      <c r="A71" s="1">
        <v>44256.912499999999</v>
      </c>
      <c r="B71" t="s">
        <v>6</v>
      </c>
      <c r="C71" t="s">
        <v>13</v>
      </c>
      <c r="D71" t="s">
        <v>65</v>
      </c>
      <c r="E71" t="s">
        <v>9</v>
      </c>
      <c r="F71">
        <v>201</v>
      </c>
      <c r="G71">
        <f t="shared" si="2"/>
        <v>201</v>
      </c>
      <c r="H71">
        <f t="shared" si="3"/>
        <v>0</v>
      </c>
    </row>
    <row r="72" spans="1:8" x14ac:dyDescent="0.25">
      <c r="A72" s="1">
        <v>44256.927083333336</v>
      </c>
      <c r="B72" t="s">
        <v>6</v>
      </c>
      <c r="C72" t="s">
        <v>10</v>
      </c>
      <c r="D72" t="s">
        <v>66</v>
      </c>
      <c r="E72" t="s">
        <v>12</v>
      </c>
      <c r="F72">
        <v>10</v>
      </c>
      <c r="G72">
        <f t="shared" si="2"/>
        <v>0</v>
      </c>
      <c r="H72">
        <f t="shared" si="3"/>
        <v>10</v>
      </c>
    </row>
    <row r="73" spans="1:8" x14ac:dyDescent="0.25">
      <c r="A73" s="1">
        <v>44257.374305555553</v>
      </c>
      <c r="B73" t="s">
        <v>6</v>
      </c>
      <c r="C73" t="s">
        <v>13</v>
      </c>
      <c r="D73" t="s">
        <v>67</v>
      </c>
      <c r="E73" t="s">
        <v>12</v>
      </c>
      <c r="F73">
        <v>150</v>
      </c>
      <c r="G73">
        <f t="shared" si="2"/>
        <v>0</v>
      </c>
      <c r="H73">
        <f t="shared" si="3"/>
        <v>150</v>
      </c>
    </row>
    <row r="74" spans="1:8" x14ac:dyDescent="0.25">
      <c r="A74" s="1">
        <v>44257.620138888888</v>
      </c>
      <c r="B74" t="s">
        <v>6</v>
      </c>
      <c r="C74" t="s">
        <v>10</v>
      </c>
      <c r="D74" t="s">
        <v>68</v>
      </c>
      <c r="E74" t="s">
        <v>12</v>
      </c>
      <c r="F74">
        <v>50</v>
      </c>
      <c r="G74">
        <f t="shared" si="2"/>
        <v>0</v>
      </c>
      <c r="H74">
        <f t="shared" si="3"/>
        <v>50</v>
      </c>
    </row>
    <row r="75" spans="1:8" x14ac:dyDescent="0.25">
      <c r="A75" s="1">
        <v>44270.886805555558</v>
      </c>
      <c r="B75" t="s">
        <v>6</v>
      </c>
      <c r="C75" t="s">
        <v>16</v>
      </c>
      <c r="D75" t="s">
        <v>69</v>
      </c>
      <c r="E75" t="s">
        <v>12</v>
      </c>
      <c r="F75">
        <v>1365</v>
      </c>
      <c r="G75">
        <f t="shared" si="2"/>
        <v>0</v>
      </c>
      <c r="H75">
        <f t="shared" si="3"/>
        <v>1365</v>
      </c>
    </row>
    <row r="76" spans="1:8" x14ac:dyDescent="0.25">
      <c r="A76" s="1">
        <v>44276.883333333331</v>
      </c>
      <c r="B76" t="s">
        <v>6</v>
      </c>
      <c r="C76" t="s">
        <v>78</v>
      </c>
      <c r="D76" t="s">
        <v>31</v>
      </c>
      <c r="E76" t="s">
        <v>9</v>
      </c>
      <c r="F76">
        <v>55000</v>
      </c>
      <c r="G76">
        <f t="shared" si="2"/>
        <v>55000</v>
      </c>
      <c r="H76">
        <f t="shared" si="3"/>
        <v>0</v>
      </c>
    </row>
    <row r="77" spans="1:8" x14ac:dyDescent="0.25">
      <c r="A77" s="1">
        <v>44277.272916666669</v>
      </c>
      <c r="B77" t="s">
        <v>6</v>
      </c>
      <c r="C77" t="s">
        <v>14</v>
      </c>
      <c r="D77" t="s">
        <v>15</v>
      </c>
      <c r="E77" t="s">
        <v>12</v>
      </c>
      <c r="F77">
        <v>5120</v>
      </c>
      <c r="G77">
        <f t="shared" si="2"/>
        <v>0</v>
      </c>
      <c r="H77">
        <f t="shared" si="3"/>
        <v>5120</v>
      </c>
    </row>
    <row r="78" spans="1:8" x14ac:dyDescent="0.25">
      <c r="A78" s="1">
        <v>44278.526388888888</v>
      </c>
      <c r="B78" t="s">
        <v>6</v>
      </c>
      <c r="C78" t="s">
        <v>56</v>
      </c>
      <c r="D78" t="s">
        <v>70</v>
      </c>
      <c r="E78" t="s">
        <v>12</v>
      </c>
      <c r="F78">
        <v>3997</v>
      </c>
      <c r="G78">
        <f t="shared" si="2"/>
        <v>0</v>
      </c>
      <c r="H78">
        <f t="shared" si="3"/>
        <v>3997</v>
      </c>
    </row>
    <row r="79" spans="1:8" x14ac:dyDescent="0.25">
      <c r="A79" s="1">
        <v>44286.351388888892</v>
      </c>
      <c r="B79" t="s">
        <v>6</v>
      </c>
      <c r="C79" t="s">
        <v>16</v>
      </c>
      <c r="D79" t="s">
        <v>71</v>
      </c>
      <c r="E79" t="s">
        <v>12</v>
      </c>
      <c r="F79">
        <v>153</v>
      </c>
      <c r="G79">
        <f t="shared" si="2"/>
        <v>0</v>
      </c>
      <c r="H79">
        <f t="shared" si="3"/>
        <v>153</v>
      </c>
    </row>
    <row r="80" spans="1:8" x14ac:dyDescent="0.25">
      <c r="A80" s="1">
        <v>44287.331944444442</v>
      </c>
      <c r="B80" t="s">
        <v>6</v>
      </c>
      <c r="C80" t="s">
        <v>10</v>
      </c>
      <c r="D80" t="s">
        <v>72</v>
      </c>
      <c r="E80" t="s">
        <v>12</v>
      </c>
      <c r="F80">
        <v>107</v>
      </c>
      <c r="G80">
        <f t="shared" si="2"/>
        <v>0</v>
      </c>
      <c r="H80">
        <f t="shared" si="3"/>
        <v>107</v>
      </c>
    </row>
    <row r="81" spans="1:8" x14ac:dyDescent="0.25">
      <c r="A81" s="1">
        <v>44287.334027777775</v>
      </c>
      <c r="B81" t="s">
        <v>6</v>
      </c>
      <c r="C81" t="s">
        <v>13</v>
      </c>
      <c r="D81" t="s">
        <v>38</v>
      </c>
      <c r="E81" t="s">
        <v>12</v>
      </c>
      <c r="F81">
        <v>80</v>
      </c>
      <c r="G81">
        <f t="shared" si="2"/>
        <v>0</v>
      </c>
      <c r="H81">
        <f t="shared" si="3"/>
        <v>80</v>
      </c>
    </row>
    <row r="82" spans="1:8" x14ac:dyDescent="0.25">
      <c r="A82" s="1">
        <v>44287.578472222223</v>
      </c>
      <c r="B82" t="s">
        <v>6</v>
      </c>
      <c r="C82" t="s">
        <v>10</v>
      </c>
      <c r="D82" t="s">
        <v>19</v>
      </c>
      <c r="E82" t="s">
        <v>12</v>
      </c>
      <c r="F82">
        <v>106</v>
      </c>
      <c r="G82">
        <f t="shared" si="2"/>
        <v>0</v>
      </c>
      <c r="H82">
        <f t="shared" si="3"/>
        <v>106</v>
      </c>
    </row>
    <row r="83" spans="1:8" x14ac:dyDescent="0.25">
      <c r="A83" s="1">
        <v>44287.924305555556</v>
      </c>
      <c r="B83" t="s">
        <v>6</v>
      </c>
      <c r="C83" t="s">
        <v>73</v>
      </c>
      <c r="D83" t="s">
        <v>74</v>
      </c>
      <c r="E83" t="s">
        <v>12</v>
      </c>
      <c r="F83">
        <v>14000</v>
      </c>
      <c r="G83">
        <f t="shared" si="2"/>
        <v>0</v>
      </c>
      <c r="H83">
        <f t="shared" si="3"/>
        <v>14000</v>
      </c>
    </row>
    <row r="84" spans="1:8" x14ac:dyDescent="0.25">
      <c r="A84" s="1">
        <v>44289.424305555556</v>
      </c>
      <c r="B84" t="s">
        <v>6</v>
      </c>
      <c r="C84" t="s">
        <v>13</v>
      </c>
      <c r="D84" t="s">
        <v>75</v>
      </c>
      <c r="E84" t="s">
        <v>12</v>
      </c>
      <c r="F84">
        <v>300</v>
      </c>
      <c r="G84">
        <f t="shared" si="2"/>
        <v>0</v>
      </c>
      <c r="H84">
        <f t="shared" si="3"/>
        <v>300</v>
      </c>
    </row>
    <row r="85" spans="1:8" x14ac:dyDescent="0.25">
      <c r="A85" s="1">
        <v>44305.864583333336</v>
      </c>
      <c r="B85" t="s">
        <v>6</v>
      </c>
      <c r="C85" t="s">
        <v>16</v>
      </c>
      <c r="D85" t="s">
        <v>76</v>
      </c>
      <c r="E85" t="s">
        <v>12</v>
      </c>
      <c r="F85">
        <v>200</v>
      </c>
      <c r="G85">
        <f t="shared" si="2"/>
        <v>0</v>
      </c>
      <c r="H85">
        <f t="shared" si="3"/>
        <v>200</v>
      </c>
    </row>
    <row r="86" spans="1:8" x14ac:dyDescent="0.25">
      <c r="A86" s="1">
        <v>44305.864583333336</v>
      </c>
      <c r="B86" t="s">
        <v>6</v>
      </c>
      <c r="C86" t="s">
        <v>10</v>
      </c>
      <c r="D86" t="s">
        <v>77</v>
      </c>
      <c r="E86" t="s">
        <v>12</v>
      </c>
      <c r="F86">
        <v>380</v>
      </c>
      <c r="G86">
        <f t="shared" si="2"/>
        <v>0</v>
      </c>
      <c r="H86">
        <f t="shared" si="3"/>
        <v>380</v>
      </c>
    </row>
    <row r="87" spans="1:8" x14ac:dyDescent="0.25">
      <c r="A87" s="1">
        <v>44307.923611111109</v>
      </c>
      <c r="B87" t="s">
        <v>6</v>
      </c>
      <c r="C87" t="s">
        <v>78</v>
      </c>
      <c r="D87" t="s">
        <v>31</v>
      </c>
      <c r="E87" t="s">
        <v>9</v>
      </c>
      <c r="F87">
        <v>55000</v>
      </c>
      <c r="G87">
        <f t="shared" si="2"/>
        <v>55000</v>
      </c>
      <c r="H87">
        <f t="shared" si="3"/>
        <v>0</v>
      </c>
    </row>
    <row r="88" spans="1:8" x14ac:dyDescent="0.25">
      <c r="A88" s="1">
        <v>44308.272916666669</v>
      </c>
      <c r="B88" t="s">
        <v>6</v>
      </c>
      <c r="C88" t="s">
        <v>14</v>
      </c>
      <c r="D88" t="s">
        <v>15</v>
      </c>
      <c r="E88" t="s">
        <v>12</v>
      </c>
      <c r="F88">
        <v>5180</v>
      </c>
      <c r="G88">
        <f t="shared" si="2"/>
        <v>0</v>
      </c>
      <c r="H88">
        <f t="shared" si="3"/>
        <v>5180</v>
      </c>
    </row>
    <row r="89" spans="1:8" x14ac:dyDescent="0.25">
      <c r="A89" s="1">
        <v>44308.852777777778</v>
      </c>
      <c r="B89" t="s">
        <v>6</v>
      </c>
      <c r="C89" t="s">
        <v>10</v>
      </c>
      <c r="D89" t="s">
        <v>79</v>
      </c>
      <c r="E89" t="s">
        <v>12</v>
      </c>
      <c r="F89">
        <v>80</v>
      </c>
      <c r="G89">
        <f t="shared" si="2"/>
        <v>0</v>
      </c>
      <c r="H89">
        <f t="shared" si="3"/>
        <v>80</v>
      </c>
    </row>
    <row r="90" spans="1:8" x14ac:dyDescent="0.25">
      <c r="A90" s="1">
        <v>44311.865277777775</v>
      </c>
      <c r="B90" t="s">
        <v>6</v>
      </c>
      <c r="C90" t="s">
        <v>16</v>
      </c>
      <c r="D90" t="s">
        <v>80</v>
      </c>
      <c r="E90" t="s">
        <v>12</v>
      </c>
      <c r="F90">
        <v>306</v>
      </c>
      <c r="G90">
        <f t="shared" si="2"/>
        <v>0</v>
      </c>
      <c r="H90">
        <f t="shared" si="3"/>
        <v>306</v>
      </c>
    </row>
    <row r="91" spans="1:8" x14ac:dyDescent="0.25">
      <c r="A91" s="1">
        <v>44317.604166666664</v>
      </c>
      <c r="B91" t="s">
        <v>6</v>
      </c>
      <c r="C91" t="s">
        <v>10</v>
      </c>
      <c r="D91" t="s">
        <v>19</v>
      </c>
      <c r="E91" t="s">
        <v>12</v>
      </c>
      <c r="F91">
        <v>388</v>
      </c>
      <c r="G91">
        <f t="shared" si="2"/>
        <v>0</v>
      </c>
      <c r="H91">
        <f t="shared" si="3"/>
        <v>388</v>
      </c>
    </row>
    <row r="92" spans="1:8" x14ac:dyDescent="0.25">
      <c r="A92" s="1">
        <v>44317.607638888891</v>
      </c>
      <c r="B92" t="s">
        <v>6</v>
      </c>
      <c r="C92" t="s">
        <v>16</v>
      </c>
      <c r="D92" t="s">
        <v>81</v>
      </c>
      <c r="E92" t="s">
        <v>12</v>
      </c>
      <c r="F92">
        <v>600</v>
      </c>
      <c r="G92">
        <f t="shared" si="2"/>
        <v>0</v>
      </c>
      <c r="H92">
        <f t="shared" si="3"/>
        <v>600</v>
      </c>
    </row>
    <row r="93" spans="1:8" x14ac:dyDescent="0.25">
      <c r="A93" s="1">
        <v>44317.609027777777</v>
      </c>
      <c r="B93" t="s">
        <v>6</v>
      </c>
      <c r="C93" t="s">
        <v>13</v>
      </c>
      <c r="D93" t="s">
        <v>82</v>
      </c>
      <c r="E93" t="s">
        <v>12</v>
      </c>
      <c r="F93">
        <v>500</v>
      </c>
      <c r="G93">
        <f t="shared" si="2"/>
        <v>0</v>
      </c>
      <c r="H93">
        <f t="shared" si="3"/>
        <v>500</v>
      </c>
    </row>
    <row r="94" spans="1:8" x14ac:dyDescent="0.25">
      <c r="A94" s="1">
        <v>44317.61041666667</v>
      </c>
      <c r="B94" t="s">
        <v>6</v>
      </c>
      <c r="C94" t="s">
        <v>13</v>
      </c>
      <c r="D94" t="s">
        <v>83</v>
      </c>
      <c r="E94" t="s">
        <v>12</v>
      </c>
      <c r="F94">
        <v>500</v>
      </c>
      <c r="G94">
        <f t="shared" si="2"/>
        <v>0</v>
      </c>
      <c r="H94">
        <f t="shared" si="3"/>
        <v>500</v>
      </c>
    </row>
    <row r="95" spans="1:8" x14ac:dyDescent="0.25">
      <c r="A95" s="1">
        <v>44317.612500000003</v>
      </c>
      <c r="B95" t="s">
        <v>6</v>
      </c>
      <c r="C95" t="s">
        <v>13</v>
      </c>
      <c r="D95" t="s">
        <v>84</v>
      </c>
      <c r="E95" t="s">
        <v>12</v>
      </c>
      <c r="F95">
        <v>30</v>
      </c>
      <c r="G95">
        <f t="shared" si="2"/>
        <v>0</v>
      </c>
      <c r="H95">
        <f t="shared" si="3"/>
        <v>30</v>
      </c>
    </row>
    <row r="96" spans="1:8" x14ac:dyDescent="0.25">
      <c r="A96" s="1">
        <v>44317.612500000003</v>
      </c>
      <c r="B96" t="s">
        <v>6</v>
      </c>
      <c r="C96" t="s">
        <v>10</v>
      </c>
      <c r="D96" t="s">
        <v>85</v>
      </c>
      <c r="E96" t="s">
        <v>12</v>
      </c>
      <c r="F96">
        <v>354</v>
      </c>
      <c r="G96">
        <f t="shared" si="2"/>
        <v>0</v>
      </c>
      <c r="H96">
        <f t="shared" si="3"/>
        <v>354</v>
      </c>
    </row>
    <row r="97" spans="1:8" x14ac:dyDescent="0.25">
      <c r="A97" s="1">
        <v>44317.615277777775</v>
      </c>
      <c r="B97" t="s">
        <v>6</v>
      </c>
      <c r="C97" t="s">
        <v>13</v>
      </c>
      <c r="D97" t="s">
        <v>86</v>
      </c>
      <c r="E97" t="s">
        <v>12</v>
      </c>
      <c r="F97">
        <v>40</v>
      </c>
      <c r="G97">
        <f t="shared" si="2"/>
        <v>0</v>
      </c>
      <c r="H97">
        <f t="shared" si="3"/>
        <v>40</v>
      </c>
    </row>
    <row r="98" spans="1:8" x14ac:dyDescent="0.25">
      <c r="A98" s="1">
        <v>44334.82708333333</v>
      </c>
      <c r="B98" t="s">
        <v>6</v>
      </c>
      <c r="C98" t="s">
        <v>56</v>
      </c>
      <c r="D98" t="s">
        <v>87</v>
      </c>
      <c r="E98" t="s">
        <v>12</v>
      </c>
      <c r="F98">
        <v>1363.72</v>
      </c>
      <c r="G98">
        <f t="shared" si="2"/>
        <v>0</v>
      </c>
      <c r="H98">
        <f t="shared" si="3"/>
        <v>1363.72</v>
      </c>
    </row>
    <row r="99" spans="1:8" x14ac:dyDescent="0.25">
      <c r="A99" s="1">
        <v>44337.849305555559</v>
      </c>
      <c r="B99" t="s">
        <v>6</v>
      </c>
      <c r="C99" t="s">
        <v>78</v>
      </c>
      <c r="D99" t="s">
        <v>31</v>
      </c>
      <c r="E99" t="s">
        <v>9</v>
      </c>
      <c r="F99">
        <v>55000</v>
      </c>
      <c r="G99">
        <f t="shared" si="2"/>
        <v>55000</v>
      </c>
      <c r="H99">
        <f t="shared" si="3"/>
        <v>0</v>
      </c>
    </row>
    <row r="100" spans="1:8" x14ac:dyDescent="0.25">
      <c r="A100" s="1">
        <v>44338.272916666669</v>
      </c>
      <c r="B100" t="s">
        <v>6</v>
      </c>
      <c r="C100" t="s">
        <v>14</v>
      </c>
      <c r="D100" t="s">
        <v>15</v>
      </c>
      <c r="E100" t="s">
        <v>12</v>
      </c>
      <c r="F100">
        <v>5120</v>
      </c>
      <c r="G100">
        <f t="shared" si="2"/>
        <v>0</v>
      </c>
      <c r="H100">
        <f t="shared" si="3"/>
        <v>5120</v>
      </c>
    </row>
    <row r="101" spans="1:8" x14ac:dyDescent="0.25">
      <c r="A101" s="1">
        <v>44347.363888888889</v>
      </c>
      <c r="B101" t="s">
        <v>6</v>
      </c>
      <c r="C101" t="s">
        <v>16</v>
      </c>
      <c r="D101" t="s">
        <v>88</v>
      </c>
      <c r="E101" t="s">
        <v>12</v>
      </c>
      <c r="F101">
        <v>50</v>
      </c>
      <c r="G101">
        <f t="shared" si="2"/>
        <v>0</v>
      </c>
      <c r="H101">
        <f t="shared" si="3"/>
        <v>50</v>
      </c>
    </row>
    <row r="102" spans="1:8" x14ac:dyDescent="0.25">
      <c r="A102" s="1">
        <v>44348.491666666669</v>
      </c>
      <c r="B102" t="s">
        <v>6</v>
      </c>
      <c r="C102" t="s">
        <v>16</v>
      </c>
      <c r="D102" t="s">
        <v>20</v>
      </c>
      <c r="E102" t="s">
        <v>12</v>
      </c>
      <c r="F102">
        <v>429</v>
      </c>
      <c r="G102">
        <f t="shared" si="2"/>
        <v>0</v>
      </c>
      <c r="H102">
        <f t="shared" si="3"/>
        <v>429</v>
      </c>
    </row>
    <row r="103" spans="1:8" x14ac:dyDescent="0.25">
      <c r="A103" s="1">
        <v>44348.598611111112</v>
      </c>
      <c r="B103" t="s">
        <v>6</v>
      </c>
      <c r="C103" t="s">
        <v>10</v>
      </c>
      <c r="D103" t="s">
        <v>89</v>
      </c>
      <c r="E103" t="s">
        <v>12</v>
      </c>
      <c r="F103">
        <v>10</v>
      </c>
      <c r="G103">
        <f t="shared" si="2"/>
        <v>0</v>
      </c>
      <c r="H103">
        <f t="shared" si="3"/>
        <v>10</v>
      </c>
    </row>
    <row r="104" spans="1:8" x14ac:dyDescent="0.25">
      <c r="A104" s="1">
        <v>44348.842361111114</v>
      </c>
      <c r="B104" t="s">
        <v>6</v>
      </c>
      <c r="C104" t="s">
        <v>10</v>
      </c>
      <c r="D104" t="s">
        <v>90</v>
      </c>
      <c r="E104" t="s">
        <v>12</v>
      </c>
      <c r="F104">
        <v>877.81</v>
      </c>
      <c r="G104">
        <f t="shared" si="2"/>
        <v>0</v>
      </c>
      <c r="H104">
        <f t="shared" si="3"/>
        <v>877.81</v>
      </c>
    </row>
    <row r="105" spans="1:8" x14ac:dyDescent="0.25">
      <c r="A105" s="1">
        <v>44348.873611111114</v>
      </c>
      <c r="B105" t="s">
        <v>6</v>
      </c>
      <c r="C105" t="s">
        <v>10</v>
      </c>
      <c r="D105" t="s">
        <v>91</v>
      </c>
      <c r="E105" t="s">
        <v>12</v>
      </c>
      <c r="F105">
        <v>200</v>
      </c>
      <c r="G105">
        <f t="shared" si="2"/>
        <v>0</v>
      </c>
      <c r="H105">
        <f t="shared" si="3"/>
        <v>200</v>
      </c>
    </row>
    <row r="106" spans="1:8" x14ac:dyDescent="0.25">
      <c r="A106" s="1">
        <v>44348.895833333336</v>
      </c>
      <c r="B106" t="s">
        <v>6</v>
      </c>
      <c r="C106" t="s">
        <v>13</v>
      </c>
      <c r="D106" t="s">
        <v>92</v>
      </c>
      <c r="E106" t="s">
        <v>9</v>
      </c>
      <c r="F106">
        <v>440</v>
      </c>
      <c r="G106">
        <f t="shared" si="2"/>
        <v>440</v>
      </c>
      <c r="H106">
        <f t="shared" si="3"/>
        <v>0</v>
      </c>
    </row>
    <row r="107" spans="1:8" x14ac:dyDescent="0.25">
      <c r="A107" s="1">
        <v>44349.694444444445</v>
      </c>
      <c r="B107" t="s">
        <v>6</v>
      </c>
      <c r="C107" t="s">
        <v>13</v>
      </c>
      <c r="D107" t="s">
        <v>93</v>
      </c>
      <c r="E107" t="s">
        <v>12</v>
      </c>
      <c r="F107">
        <v>4500</v>
      </c>
      <c r="G107">
        <f t="shared" si="2"/>
        <v>0</v>
      </c>
      <c r="H107">
        <f t="shared" si="3"/>
        <v>4500</v>
      </c>
    </row>
    <row r="108" spans="1:8" x14ac:dyDescent="0.25">
      <c r="A108" s="1">
        <v>44349.744444444441</v>
      </c>
      <c r="B108" t="s">
        <v>6</v>
      </c>
      <c r="C108" t="s">
        <v>16</v>
      </c>
      <c r="D108" t="s">
        <v>94</v>
      </c>
      <c r="E108" t="s">
        <v>12</v>
      </c>
      <c r="F108">
        <v>1000</v>
      </c>
      <c r="G108">
        <f t="shared" si="2"/>
        <v>0</v>
      </c>
      <c r="H108">
        <f t="shared" si="3"/>
        <v>1000</v>
      </c>
    </row>
    <row r="109" spans="1:8" x14ac:dyDescent="0.25">
      <c r="A109" s="1">
        <v>44349.745138888888</v>
      </c>
      <c r="B109" t="s">
        <v>6</v>
      </c>
      <c r="C109" t="s">
        <v>10</v>
      </c>
      <c r="D109" t="s">
        <v>95</v>
      </c>
      <c r="E109" t="s">
        <v>12</v>
      </c>
      <c r="F109">
        <v>150</v>
      </c>
      <c r="G109">
        <f t="shared" si="2"/>
        <v>0</v>
      </c>
      <c r="H109">
        <f t="shared" si="3"/>
        <v>150</v>
      </c>
    </row>
    <row r="110" spans="1:8" x14ac:dyDescent="0.25">
      <c r="A110" s="1">
        <v>44349.772222222222</v>
      </c>
      <c r="B110" t="s">
        <v>6</v>
      </c>
      <c r="C110" t="s">
        <v>10</v>
      </c>
      <c r="D110" t="s">
        <v>96</v>
      </c>
      <c r="E110" t="s">
        <v>12</v>
      </c>
      <c r="F110">
        <v>125</v>
      </c>
      <c r="G110">
        <f t="shared" si="2"/>
        <v>0</v>
      </c>
      <c r="H110">
        <f t="shared" si="3"/>
        <v>125</v>
      </c>
    </row>
    <row r="111" spans="1:8" x14ac:dyDescent="0.25">
      <c r="A111" s="1">
        <v>44349.888888888891</v>
      </c>
      <c r="B111" t="s">
        <v>6</v>
      </c>
      <c r="C111" t="s">
        <v>10</v>
      </c>
      <c r="D111" t="s">
        <v>97</v>
      </c>
      <c r="E111" t="s">
        <v>12</v>
      </c>
      <c r="F111">
        <v>491</v>
      </c>
      <c r="G111">
        <f t="shared" si="2"/>
        <v>0</v>
      </c>
      <c r="H111">
        <f t="shared" si="3"/>
        <v>491</v>
      </c>
    </row>
    <row r="112" spans="1:8" x14ac:dyDescent="0.25">
      <c r="A112" s="1">
        <v>44361.637499999997</v>
      </c>
      <c r="B112" t="s">
        <v>6</v>
      </c>
      <c r="C112" t="s">
        <v>10</v>
      </c>
      <c r="D112" t="s">
        <v>11</v>
      </c>
      <c r="E112" t="s">
        <v>12</v>
      </c>
      <c r="F112">
        <v>749</v>
      </c>
      <c r="G112">
        <f t="shared" si="2"/>
        <v>0</v>
      </c>
      <c r="H112">
        <f t="shared" si="3"/>
        <v>749</v>
      </c>
    </row>
    <row r="113" spans="1:8" x14ac:dyDescent="0.25">
      <c r="A113" s="1">
        <v>44369.272916666669</v>
      </c>
      <c r="B113" t="s">
        <v>6</v>
      </c>
      <c r="C113" t="s">
        <v>14</v>
      </c>
      <c r="D113" t="s">
        <v>15</v>
      </c>
      <c r="E113" t="s">
        <v>12</v>
      </c>
      <c r="F113">
        <v>4120</v>
      </c>
      <c r="G113">
        <f t="shared" si="2"/>
        <v>0</v>
      </c>
      <c r="H113">
        <f t="shared" si="3"/>
        <v>4120</v>
      </c>
    </row>
    <row r="114" spans="1:8" x14ac:dyDescent="0.25">
      <c r="A114" s="1">
        <v>44369.695138888892</v>
      </c>
      <c r="B114" t="s">
        <v>6</v>
      </c>
      <c r="C114" t="s">
        <v>78</v>
      </c>
      <c r="D114" t="s">
        <v>31</v>
      </c>
      <c r="E114" t="s">
        <v>9</v>
      </c>
      <c r="F114">
        <v>55000</v>
      </c>
      <c r="G114">
        <f t="shared" si="2"/>
        <v>55000</v>
      </c>
      <c r="H114">
        <f t="shared" si="3"/>
        <v>0</v>
      </c>
    </row>
    <row r="115" spans="1:8" x14ac:dyDescent="0.25">
      <c r="A115" s="1">
        <v>44378.57708333333</v>
      </c>
      <c r="B115" t="s">
        <v>6</v>
      </c>
      <c r="C115" t="s">
        <v>10</v>
      </c>
      <c r="D115" t="s">
        <v>98</v>
      </c>
      <c r="E115" t="s">
        <v>12</v>
      </c>
      <c r="F115">
        <v>1599</v>
      </c>
      <c r="G115">
        <f t="shared" si="2"/>
        <v>0</v>
      </c>
      <c r="H115">
        <f t="shared" si="3"/>
        <v>1599</v>
      </c>
    </row>
    <row r="116" spans="1:8" x14ac:dyDescent="0.25">
      <c r="A116" s="1">
        <v>44379.297222222223</v>
      </c>
      <c r="B116" t="s">
        <v>6</v>
      </c>
      <c r="C116" t="s">
        <v>16</v>
      </c>
      <c r="D116" t="s">
        <v>99</v>
      </c>
      <c r="E116" t="s">
        <v>12</v>
      </c>
      <c r="F116">
        <v>214</v>
      </c>
      <c r="G116">
        <f t="shared" si="2"/>
        <v>0</v>
      </c>
      <c r="H116">
        <f t="shared" si="3"/>
        <v>214</v>
      </c>
    </row>
    <row r="117" spans="1:8" x14ac:dyDescent="0.25">
      <c r="A117" s="1">
        <v>44395.540972222225</v>
      </c>
      <c r="B117" t="s">
        <v>6</v>
      </c>
      <c r="C117" t="s">
        <v>13</v>
      </c>
      <c r="D117" t="s">
        <v>95</v>
      </c>
      <c r="E117" t="s">
        <v>12</v>
      </c>
      <c r="F117">
        <v>200</v>
      </c>
      <c r="G117">
        <f t="shared" si="2"/>
        <v>0</v>
      </c>
      <c r="H117">
        <f t="shared" si="3"/>
        <v>200</v>
      </c>
    </row>
    <row r="118" spans="1:8" x14ac:dyDescent="0.25">
      <c r="A118" s="1">
        <v>44399.272916666669</v>
      </c>
      <c r="B118" t="s">
        <v>6</v>
      </c>
      <c r="C118" t="s">
        <v>14</v>
      </c>
      <c r="D118" t="s">
        <v>15</v>
      </c>
      <c r="E118" t="s">
        <v>12</v>
      </c>
      <c r="F118">
        <v>4620</v>
      </c>
      <c r="G118">
        <f t="shared" si="2"/>
        <v>0</v>
      </c>
      <c r="H118">
        <f t="shared" si="3"/>
        <v>4620</v>
      </c>
    </row>
    <row r="119" spans="1:8" x14ac:dyDescent="0.25">
      <c r="A119" s="1">
        <v>44400.895138888889</v>
      </c>
      <c r="B119" t="s">
        <v>6</v>
      </c>
      <c r="C119" t="s">
        <v>10</v>
      </c>
      <c r="D119" t="s">
        <v>47</v>
      </c>
      <c r="E119" t="s">
        <v>12</v>
      </c>
      <c r="F119">
        <v>302</v>
      </c>
      <c r="G119">
        <f t="shared" si="2"/>
        <v>0</v>
      </c>
      <c r="H119">
        <f t="shared" si="3"/>
        <v>302</v>
      </c>
    </row>
    <row r="120" spans="1:8" x14ac:dyDescent="0.25">
      <c r="A120" s="1">
        <v>44401.90902777778</v>
      </c>
      <c r="B120" t="s">
        <v>6</v>
      </c>
      <c r="C120" t="s">
        <v>56</v>
      </c>
      <c r="D120" t="s">
        <v>100</v>
      </c>
      <c r="E120" t="s">
        <v>12</v>
      </c>
      <c r="F120">
        <v>1500</v>
      </c>
      <c r="G120">
        <f t="shared" si="2"/>
        <v>0</v>
      </c>
      <c r="H120">
        <f t="shared" si="3"/>
        <v>1500</v>
      </c>
    </row>
    <row r="121" spans="1:8" x14ac:dyDescent="0.25">
      <c r="A121" s="1">
        <v>44402.565972222219</v>
      </c>
      <c r="B121" t="s">
        <v>6</v>
      </c>
      <c r="C121" t="s">
        <v>10</v>
      </c>
      <c r="D121" t="s">
        <v>101</v>
      </c>
      <c r="E121" t="s">
        <v>12</v>
      </c>
      <c r="F121">
        <v>259</v>
      </c>
      <c r="G121">
        <f t="shared" si="2"/>
        <v>0</v>
      </c>
      <c r="H121">
        <f t="shared" si="3"/>
        <v>259</v>
      </c>
    </row>
    <row r="122" spans="1:8" x14ac:dyDescent="0.25">
      <c r="A122" s="1">
        <v>44403.734027777777</v>
      </c>
      <c r="B122" t="s">
        <v>6</v>
      </c>
      <c r="C122" t="s">
        <v>78</v>
      </c>
      <c r="D122" t="s">
        <v>31</v>
      </c>
      <c r="E122" t="s">
        <v>9</v>
      </c>
      <c r="F122">
        <v>55000</v>
      </c>
      <c r="G122">
        <f t="shared" si="2"/>
        <v>55000</v>
      </c>
      <c r="H122">
        <f t="shared" si="3"/>
        <v>0</v>
      </c>
    </row>
    <row r="123" spans="1:8" x14ac:dyDescent="0.25">
      <c r="A123" s="1">
        <v>44404.568055555559</v>
      </c>
      <c r="B123" t="s">
        <v>6</v>
      </c>
      <c r="C123" t="s">
        <v>13</v>
      </c>
      <c r="D123" t="s">
        <v>25</v>
      </c>
      <c r="E123" t="s">
        <v>9</v>
      </c>
      <c r="F123">
        <v>300</v>
      </c>
      <c r="G123">
        <f t="shared" si="2"/>
        <v>300</v>
      </c>
      <c r="H123">
        <f t="shared" si="3"/>
        <v>0</v>
      </c>
    </row>
    <row r="124" spans="1:8" x14ac:dyDescent="0.25">
      <c r="A124" s="1">
        <v>44409.568055555559</v>
      </c>
      <c r="B124" t="s">
        <v>6</v>
      </c>
      <c r="C124" t="s">
        <v>14</v>
      </c>
      <c r="D124" t="s">
        <v>102</v>
      </c>
      <c r="E124" t="s">
        <v>12</v>
      </c>
      <c r="F124">
        <v>4580</v>
      </c>
      <c r="G124">
        <f t="shared" si="2"/>
        <v>0</v>
      </c>
      <c r="H124">
        <f t="shared" si="3"/>
        <v>4580</v>
      </c>
    </row>
    <row r="125" spans="1:8" x14ac:dyDescent="0.25">
      <c r="A125" s="1">
        <v>44409.572916666664</v>
      </c>
      <c r="B125" t="s">
        <v>6</v>
      </c>
      <c r="C125" t="s">
        <v>10</v>
      </c>
      <c r="D125" t="s">
        <v>103</v>
      </c>
      <c r="E125" t="s">
        <v>12</v>
      </c>
      <c r="F125">
        <v>535.29999999999995</v>
      </c>
      <c r="G125">
        <f t="shared" si="2"/>
        <v>0</v>
      </c>
      <c r="H125">
        <f t="shared" si="3"/>
        <v>535.29999999999995</v>
      </c>
    </row>
    <row r="126" spans="1:8" x14ac:dyDescent="0.25">
      <c r="A126" s="1">
        <v>44409.573611111111</v>
      </c>
      <c r="B126" t="s">
        <v>6</v>
      </c>
      <c r="C126" t="s">
        <v>13</v>
      </c>
      <c r="D126" t="s">
        <v>104</v>
      </c>
      <c r="E126" t="s">
        <v>9</v>
      </c>
      <c r="F126">
        <v>260</v>
      </c>
      <c r="G126">
        <f t="shared" si="2"/>
        <v>260</v>
      </c>
      <c r="H126">
        <f t="shared" si="3"/>
        <v>0</v>
      </c>
    </row>
    <row r="127" spans="1:8" x14ac:dyDescent="0.25">
      <c r="A127" s="1">
        <v>44410.442361111112</v>
      </c>
      <c r="B127" t="s">
        <v>6</v>
      </c>
      <c r="C127" t="s">
        <v>78</v>
      </c>
      <c r="D127" t="s">
        <v>31</v>
      </c>
      <c r="E127" t="s">
        <v>9</v>
      </c>
      <c r="F127">
        <v>55000</v>
      </c>
      <c r="G127">
        <f t="shared" si="2"/>
        <v>55000</v>
      </c>
      <c r="H127">
        <f t="shared" si="3"/>
        <v>0</v>
      </c>
    </row>
    <row r="128" spans="1:8" x14ac:dyDescent="0.25">
      <c r="A128" s="1">
        <v>44410.843055555553</v>
      </c>
      <c r="B128" t="s">
        <v>6</v>
      </c>
      <c r="C128" t="s">
        <v>13</v>
      </c>
      <c r="D128" t="s">
        <v>8</v>
      </c>
      <c r="E128" t="s">
        <v>9</v>
      </c>
      <c r="F128">
        <v>500</v>
      </c>
      <c r="G128">
        <f t="shared" si="2"/>
        <v>500</v>
      </c>
      <c r="H128">
        <f t="shared" si="3"/>
        <v>0</v>
      </c>
    </row>
    <row r="129" spans="1:8" x14ac:dyDescent="0.25">
      <c r="A129" s="1">
        <v>44425.357638888891</v>
      </c>
      <c r="B129" t="s">
        <v>6</v>
      </c>
      <c r="C129" t="s">
        <v>13</v>
      </c>
      <c r="D129" t="s">
        <v>105</v>
      </c>
      <c r="E129" t="s">
        <v>12</v>
      </c>
      <c r="F129">
        <v>50</v>
      </c>
      <c r="G129">
        <f t="shared" si="2"/>
        <v>0</v>
      </c>
      <c r="H129">
        <f t="shared" si="3"/>
        <v>50</v>
      </c>
    </row>
    <row r="130" spans="1:8" x14ac:dyDescent="0.25">
      <c r="A130" s="1">
        <v>44429.67083333333</v>
      </c>
      <c r="B130" t="s">
        <v>6</v>
      </c>
      <c r="C130" t="s">
        <v>16</v>
      </c>
      <c r="D130" t="s">
        <v>106</v>
      </c>
      <c r="E130" t="s">
        <v>12</v>
      </c>
      <c r="F130">
        <v>138</v>
      </c>
      <c r="G130">
        <f t="shared" si="2"/>
        <v>0</v>
      </c>
      <c r="H130">
        <f t="shared" si="3"/>
        <v>138</v>
      </c>
    </row>
    <row r="131" spans="1:8" x14ac:dyDescent="0.25">
      <c r="A131" s="1">
        <v>44432.802083333336</v>
      </c>
      <c r="B131" t="s">
        <v>6</v>
      </c>
      <c r="C131" t="s">
        <v>10</v>
      </c>
      <c r="D131" t="s">
        <v>107</v>
      </c>
      <c r="E131" t="s">
        <v>12</v>
      </c>
      <c r="F131">
        <v>324.7</v>
      </c>
      <c r="G131">
        <f t="shared" ref="G131:G194" si="4">IF(E131="Income", F131, 0)</f>
        <v>0</v>
      </c>
      <c r="H131">
        <f t="shared" ref="H131:H194" si="5">IF(E131="Expense", F131, 0)</f>
        <v>324.7</v>
      </c>
    </row>
    <row r="132" spans="1:8" x14ac:dyDescent="0.25">
      <c r="A132" s="1">
        <v>44434.588194444441</v>
      </c>
      <c r="B132" t="s">
        <v>6</v>
      </c>
      <c r="C132" t="s">
        <v>10</v>
      </c>
      <c r="D132" t="s">
        <v>11</v>
      </c>
      <c r="E132" t="s">
        <v>12</v>
      </c>
      <c r="F132">
        <v>40</v>
      </c>
      <c r="G132">
        <f t="shared" si="4"/>
        <v>0</v>
      </c>
      <c r="H132">
        <f t="shared" si="5"/>
        <v>40</v>
      </c>
    </row>
    <row r="133" spans="1:8" x14ac:dyDescent="0.25">
      <c r="A133" s="1">
        <v>44435.892361111109</v>
      </c>
      <c r="B133" t="s">
        <v>6</v>
      </c>
      <c r="C133" t="s">
        <v>16</v>
      </c>
      <c r="D133" t="s">
        <v>20</v>
      </c>
      <c r="E133" t="s">
        <v>12</v>
      </c>
      <c r="F133">
        <v>43</v>
      </c>
      <c r="G133">
        <f t="shared" si="4"/>
        <v>0</v>
      </c>
      <c r="H133">
        <f t="shared" si="5"/>
        <v>43</v>
      </c>
    </row>
    <row r="134" spans="1:8" x14ac:dyDescent="0.25">
      <c r="A134" s="1">
        <v>44438.488888888889</v>
      </c>
      <c r="B134" t="s">
        <v>6</v>
      </c>
      <c r="C134" t="s">
        <v>13</v>
      </c>
      <c r="D134" t="s">
        <v>108</v>
      </c>
      <c r="E134" t="s">
        <v>9</v>
      </c>
      <c r="F134">
        <v>2250</v>
      </c>
      <c r="G134">
        <f t="shared" si="4"/>
        <v>2250</v>
      </c>
      <c r="H134">
        <f t="shared" si="5"/>
        <v>0</v>
      </c>
    </row>
    <row r="135" spans="1:8" x14ac:dyDescent="0.25">
      <c r="A135" s="1">
        <v>44441.387499999997</v>
      </c>
      <c r="B135" t="s">
        <v>6</v>
      </c>
      <c r="C135" t="s">
        <v>14</v>
      </c>
      <c r="D135" t="s">
        <v>109</v>
      </c>
      <c r="E135" t="s">
        <v>12</v>
      </c>
      <c r="F135">
        <v>2099</v>
      </c>
      <c r="G135">
        <f t="shared" si="4"/>
        <v>0</v>
      </c>
      <c r="H135">
        <f t="shared" si="5"/>
        <v>2099</v>
      </c>
    </row>
    <row r="136" spans="1:8" x14ac:dyDescent="0.25">
      <c r="A136" s="1">
        <v>44442.765277777777</v>
      </c>
      <c r="B136" t="s">
        <v>6</v>
      </c>
      <c r="C136" t="s">
        <v>13</v>
      </c>
      <c r="D136" t="s">
        <v>25</v>
      </c>
      <c r="E136" t="s">
        <v>9</v>
      </c>
      <c r="F136">
        <v>100</v>
      </c>
      <c r="G136">
        <f t="shared" si="4"/>
        <v>100</v>
      </c>
      <c r="H136">
        <f t="shared" si="5"/>
        <v>0</v>
      </c>
    </row>
    <row r="137" spans="1:8" x14ac:dyDescent="0.25">
      <c r="A137" s="1">
        <v>44453.706944444442</v>
      </c>
      <c r="B137" t="s">
        <v>6</v>
      </c>
      <c r="C137" t="s">
        <v>13</v>
      </c>
      <c r="D137" t="s">
        <v>110</v>
      </c>
      <c r="E137" t="s">
        <v>9</v>
      </c>
      <c r="F137">
        <v>170</v>
      </c>
      <c r="G137">
        <f t="shared" si="4"/>
        <v>170</v>
      </c>
      <c r="H137">
        <f t="shared" si="5"/>
        <v>0</v>
      </c>
    </row>
    <row r="138" spans="1:8" x14ac:dyDescent="0.25">
      <c r="A138" s="1">
        <v>44462.895138888889</v>
      </c>
      <c r="B138" t="s">
        <v>6</v>
      </c>
      <c r="C138" t="s">
        <v>10</v>
      </c>
      <c r="D138" t="s">
        <v>111</v>
      </c>
      <c r="E138" t="s">
        <v>12</v>
      </c>
      <c r="F138">
        <v>300</v>
      </c>
      <c r="G138">
        <f t="shared" si="4"/>
        <v>0</v>
      </c>
      <c r="H138">
        <f t="shared" si="5"/>
        <v>300</v>
      </c>
    </row>
    <row r="139" spans="1:8" x14ac:dyDescent="0.25">
      <c r="A139" s="1">
        <v>44462.90347222222</v>
      </c>
      <c r="B139" t="s">
        <v>6</v>
      </c>
      <c r="C139" t="s">
        <v>10</v>
      </c>
      <c r="D139" t="s">
        <v>18</v>
      </c>
      <c r="E139" t="s">
        <v>12</v>
      </c>
      <c r="F139">
        <v>465</v>
      </c>
      <c r="G139">
        <f t="shared" si="4"/>
        <v>0</v>
      </c>
      <c r="H139">
        <f t="shared" si="5"/>
        <v>465</v>
      </c>
    </row>
    <row r="140" spans="1:8" x14ac:dyDescent="0.25">
      <c r="A140" s="1">
        <v>44462.90625</v>
      </c>
      <c r="B140" t="s">
        <v>6</v>
      </c>
      <c r="C140" t="s">
        <v>10</v>
      </c>
      <c r="D140" t="s">
        <v>112</v>
      </c>
      <c r="E140" t="s">
        <v>12</v>
      </c>
      <c r="F140">
        <v>40</v>
      </c>
      <c r="G140">
        <f t="shared" si="4"/>
        <v>0</v>
      </c>
      <c r="H140">
        <f t="shared" si="5"/>
        <v>40</v>
      </c>
    </row>
    <row r="141" spans="1:8" x14ac:dyDescent="0.25">
      <c r="A141" s="1">
        <v>44463.588888888888</v>
      </c>
      <c r="B141" t="s">
        <v>6</v>
      </c>
      <c r="C141" t="s">
        <v>10</v>
      </c>
      <c r="D141" t="s">
        <v>19</v>
      </c>
      <c r="E141" t="s">
        <v>12</v>
      </c>
      <c r="F141">
        <v>133</v>
      </c>
      <c r="G141">
        <f t="shared" si="4"/>
        <v>0</v>
      </c>
      <c r="H141">
        <f t="shared" si="5"/>
        <v>133</v>
      </c>
    </row>
    <row r="142" spans="1:8" x14ac:dyDescent="0.25">
      <c r="A142" s="1">
        <v>44463.845138888886</v>
      </c>
      <c r="B142" t="s">
        <v>6</v>
      </c>
      <c r="C142" t="s">
        <v>78</v>
      </c>
      <c r="D142" t="s">
        <v>31</v>
      </c>
      <c r="E142" t="s">
        <v>9</v>
      </c>
      <c r="F142">
        <v>55000</v>
      </c>
      <c r="G142">
        <f t="shared" si="4"/>
        <v>55000</v>
      </c>
      <c r="H142">
        <f t="shared" si="5"/>
        <v>0</v>
      </c>
    </row>
    <row r="143" spans="1:8" x14ac:dyDescent="0.25">
      <c r="A143" s="1">
        <v>44464.388888888891</v>
      </c>
      <c r="B143" t="s">
        <v>6</v>
      </c>
      <c r="C143" t="s">
        <v>16</v>
      </c>
      <c r="D143" t="s">
        <v>39</v>
      </c>
      <c r="E143" t="s">
        <v>12</v>
      </c>
      <c r="F143">
        <v>3325</v>
      </c>
      <c r="G143">
        <f t="shared" si="4"/>
        <v>0</v>
      </c>
      <c r="H143">
        <f t="shared" si="5"/>
        <v>3325</v>
      </c>
    </row>
    <row r="144" spans="1:8" x14ac:dyDescent="0.25">
      <c r="A144" s="1">
        <v>44466.570138888892</v>
      </c>
      <c r="B144" t="s">
        <v>6</v>
      </c>
      <c r="C144" t="s">
        <v>13</v>
      </c>
      <c r="D144" t="s">
        <v>38</v>
      </c>
      <c r="E144" t="s">
        <v>12</v>
      </c>
      <c r="F144">
        <v>300</v>
      </c>
      <c r="G144">
        <f t="shared" si="4"/>
        <v>0</v>
      </c>
      <c r="H144">
        <f t="shared" si="5"/>
        <v>300</v>
      </c>
    </row>
    <row r="145" spans="1:8" x14ac:dyDescent="0.25">
      <c r="A145" s="1">
        <v>44470.586111111108</v>
      </c>
      <c r="B145" t="s">
        <v>6</v>
      </c>
      <c r="C145" t="s">
        <v>10</v>
      </c>
      <c r="D145" t="s">
        <v>113</v>
      </c>
      <c r="E145" t="s">
        <v>12</v>
      </c>
      <c r="F145">
        <v>106</v>
      </c>
      <c r="G145">
        <f t="shared" si="4"/>
        <v>0</v>
      </c>
      <c r="H145">
        <f t="shared" si="5"/>
        <v>106</v>
      </c>
    </row>
    <row r="146" spans="1:8" x14ac:dyDescent="0.25">
      <c r="A146" s="1">
        <v>44470.882638888892</v>
      </c>
      <c r="B146" t="s">
        <v>6</v>
      </c>
      <c r="C146" t="s">
        <v>78</v>
      </c>
      <c r="D146" t="s">
        <v>31</v>
      </c>
      <c r="E146" t="s">
        <v>9</v>
      </c>
      <c r="F146">
        <v>55140</v>
      </c>
      <c r="G146">
        <f t="shared" si="4"/>
        <v>55140</v>
      </c>
      <c r="H146">
        <f t="shared" si="5"/>
        <v>0</v>
      </c>
    </row>
    <row r="147" spans="1:8" x14ac:dyDescent="0.25">
      <c r="A147" s="1">
        <v>44470.912499999999</v>
      </c>
      <c r="B147" t="s">
        <v>6</v>
      </c>
      <c r="C147" t="s">
        <v>13</v>
      </c>
      <c r="D147" t="s">
        <v>65</v>
      </c>
      <c r="E147" t="s">
        <v>9</v>
      </c>
      <c r="F147">
        <v>201</v>
      </c>
      <c r="G147">
        <f t="shared" si="4"/>
        <v>201</v>
      </c>
      <c r="H147">
        <f t="shared" si="5"/>
        <v>0</v>
      </c>
    </row>
    <row r="148" spans="1:8" x14ac:dyDescent="0.25">
      <c r="A148" s="1">
        <v>44471.387499999997</v>
      </c>
      <c r="B148" t="s">
        <v>6</v>
      </c>
      <c r="C148" t="s">
        <v>14</v>
      </c>
      <c r="D148" t="s">
        <v>109</v>
      </c>
      <c r="E148" t="s">
        <v>12</v>
      </c>
      <c r="F148">
        <v>2099</v>
      </c>
      <c r="G148">
        <f t="shared" si="4"/>
        <v>0</v>
      </c>
      <c r="H148">
        <f t="shared" si="5"/>
        <v>2099</v>
      </c>
    </row>
    <row r="149" spans="1:8" x14ac:dyDescent="0.25">
      <c r="A149" s="1">
        <v>44471.84375</v>
      </c>
      <c r="B149" t="s">
        <v>6</v>
      </c>
      <c r="C149" t="s">
        <v>10</v>
      </c>
      <c r="D149" t="s">
        <v>48</v>
      </c>
      <c r="E149" t="s">
        <v>12</v>
      </c>
      <c r="F149">
        <v>641</v>
      </c>
      <c r="G149">
        <f t="shared" si="4"/>
        <v>0</v>
      </c>
      <c r="H149">
        <f t="shared" si="5"/>
        <v>641</v>
      </c>
    </row>
    <row r="150" spans="1:8" x14ac:dyDescent="0.25">
      <c r="A150" s="1">
        <v>44483.877083333333</v>
      </c>
      <c r="B150" t="s">
        <v>6</v>
      </c>
      <c r="C150" t="s">
        <v>10</v>
      </c>
      <c r="D150" t="s">
        <v>114</v>
      </c>
      <c r="E150" t="s">
        <v>12</v>
      </c>
      <c r="F150">
        <v>80</v>
      </c>
      <c r="G150">
        <f t="shared" si="4"/>
        <v>0</v>
      </c>
      <c r="H150">
        <f t="shared" si="5"/>
        <v>80</v>
      </c>
    </row>
    <row r="151" spans="1:8" x14ac:dyDescent="0.25">
      <c r="A151" s="1">
        <v>44485.445833333331</v>
      </c>
      <c r="B151" t="s">
        <v>6</v>
      </c>
      <c r="C151" t="s">
        <v>10</v>
      </c>
      <c r="D151" t="s">
        <v>115</v>
      </c>
      <c r="E151" t="s">
        <v>12</v>
      </c>
      <c r="F151">
        <v>110</v>
      </c>
      <c r="G151">
        <f t="shared" si="4"/>
        <v>0</v>
      </c>
      <c r="H151">
        <f t="shared" si="5"/>
        <v>110</v>
      </c>
    </row>
    <row r="152" spans="1:8" x14ac:dyDescent="0.25">
      <c r="A152" s="1">
        <v>44487.875694444447</v>
      </c>
      <c r="B152" t="s">
        <v>6</v>
      </c>
      <c r="C152" t="s">
        <v>13</v>
      </c>
      <c r="D152" t="s">
        <v>95</v>
      </c>
      <c r="E152" t="s">
        <v>12</v>
      </c>
      <c r="F152">
        <v>10000</v>
      </c>
      <c r="G152">
        <f t="shared" si="4"/>
        <v>0</v>
      </c>
      <c r="H152">
        <f t="shared" si="5"/>
        <v>10000</v>
      </c>
    </row>
    <row r="153" spans="1:8" x14ac:dyDescent="0.25">
      <c r="A153" s="1">
        <v>44496.522916666669</v>
      </c>
      <c r="B153" t="s">
        <v>6</v>
      </c>
      <c r="C153" t="s">
        <v>13</v>
      </c>
      <c r="D153" t="s">
        <v>116</v>
      </c>
      <c r="E153" t="s">
        <v>9</v>
      </c>
      <c r="F153">
        <v>40</v>
      </c>
      <c r="G153">
        <f t="shared" si="4"/>
        <v>40</v>
      </c>
      <c r="H153">
        <f t="shared" si="5"/>
        <v>0</v>
      </c>
    </row>
    <row r="154" spans="1:8" x14ac:dyDescent="0.25">
      <c r="A154" s="1">
        <v>44499.489583333336</v>
      </c>
      <c r="B154" t="s">
        <v>6</v>
      </c>
      <c r="C154" t="s">
        <v>13</v>
      </c>
      <c r="D154" t="s">
        <v>62</v>
      </c>
      <c r="E154" t="s">
        <v>9</v>
      </c>
      <c r="F154">
        <v>20</v>
      </c>
      <c r="G154">
        <f t="shared" si="4"/>
        <v>20</v>
      </c>
      <c r="H154">
        <f t="shared" si="5"/>
        <v>0</v>
      </c>
    </row>
    <row r="155" spans="1:8" x14ac:dyDescent="0.25">
      <c r="A155" s="1">
        <v>44499.489583333336</v>
      </c>
      <c r="B155" t="s">
        <v>6</v>
      </c>
      <c r="C155" t="s">
        <v>16</v>
      </c>
      <c r="D155" t="s">
        <v>117</v>
      </c>
      <c r="E155" t="s">
        <v>12</v>
      </c>
      <c r="F155">
        <v>286</v>
      </c>
      <c r="G155">
        <f t="shared" si="4"/>
        <v>0</v>
      </c>
      <c r="H155">
        <f t="shared" si="5"/>
        <v>286</v>
      </c>
    </row>
    <row r="156" spans="1:8" x14ac:dyDescent="0.25">
      <c r="A156" s="1">
        <v>44499.526388888888</v>
      </c>
      <c r="B156" t="s">
        <v>6</v>
      </c>
      <c r="C156" t="s">
        <v>16</v>
      </c>
      <c r="D156" t="s">
        <v>118</v>
      </c>
      <c r="E156" t="s">
        <v>12</v>
      </c>
      <c r="F156">
        <v>199</v>
      </c>
      <c r="G156">
        <f t="shared" si="4"/>
        <v>0</v>
      </c>
      <c r="H156">
        <f t="shared" si="5"/>
        <v>199</v>
      </c>
    </row>
    <row r="157" spans="1:8" x14ac:dyDescent="0.25">
      <c r="A157" s="1">
        <v>44501.588194444441</v>
      </c>
      <c r="B157" t="s">
        <v>6</v>
      </c>
      <c r="C157" t="s">
        <v>10</v>
      </c>
      <c r="D157" t="s">
        <v>119</v>
      </c>
      <c r="E157" t="s">
        <v>12</v>
      </c>
      <c r="F157">
        <v>135.5</v>
      </c>
      <c r="G157">
        <f t="shared" si="4"/>
        <v>0</v>
      </c>
      <c r="H157">
        <f t="shared" si="5"/>
        <v>135.5</v>
      </c>
    </row>
    <row r="158" spans="1:8" x14ac:dyDescent="0.25">
      <c r="A158" s="1">
        <v>44502.387499999997</v>
      </c>
      <c r="B158" t="s">
        <v>6</v>
      </c>
      <c r="C158" t="s">
        <v>14</v>
      </c>
      <c r="D158" t="s">
        <v>109</v>
      </c>
      <c r="E158" t="s">
        <v>12</v>
      </c>
      <c r="F158">
        <v>4099</v>
      </c>
      <c r="G158">
        <f t="shared" si="4"/>
        <v>0</v>
      </c>
      <c r="H158">
        <f t="shared" si="5"/>
        <v>4099</v>
      </c>
    </row>
    <row r="159" spans="1:8" x14ac:dyDescent="0.25">
      <c r="A159" s="1">
        <v>44502.945138888892</v>
      </c>
      <c r="B159" t="s">
        <v>6</v>
      </c>
      <c r="C159" t="s">
        <v>10</v>
      </c>
      <c r="D159" t="s">
        <v>120</v>
      </c>
      <c r="E159" t="s">
        <v>12</v>
      </c>
      <c r="F159">
        <v>373</v>
      </c>
      <c r="G159">
        <f t="shared" si="4"/>
        <v>0</v>
      </c>
      <c r="H159">
        <f t="shared" si="5"/>
        <v>373</v>
      </c>
    </row>
    <row r="160" spans="1:8" x14ac:dyDescent="0.25">
      <c r="A160" s="1">
        <v>44513.798611111109</v>
      </c>
      <c r="B160" t="s">
        <v>6</v>
      </c>
      <c r="C160" t="s">
        <v>13</v>
      </c>
      <c r="D160" t="s">
        <v>8</v>
      </c>
      <c r="E160" t="s">
        <v>9</v>
      </c>
      <c r="F160">
        <v>1000</v>
      </c>
      <c r="G160">
        <f t="shared" si="4"/>
        <v>1000</v>
      </c>
      <c r="H160">
        <f t="shared" si="5"/>
        <v>0</v>
      </c>
    </row>
    <row r="161" spans="1:8" x14ac:dyDescent="0.25">
      <c r="A161" s="1">
        <v>44514.70416666667</v>
      </c>
      <c r="B161" t="s">
        <v>6</v>
      </c>
      <c r="C161" t="s">
        <v>10</v>
      </c>
      <c r="D161" t="s">
        <v>121</v>
      </c>
      <c r="E161" t="s">
        <v>12</v>
      </c>
      <c r="F161">
        <v>1530</v>
      </c>
      <c r="G161">
        <f t="shared" si="4"/>
        <v>0</v>
      </c>
      <c r="H161">
        <f t="shared" si="5"/>
        <v>1530</v>
      </c>
    </row>
    <row r="162" spans="1:8" x14ac:dyDescent="0.25">
      <c r="A162" s="1">
        <v>44514.70416666667</v>
      </c>
      <c r="B162" t="s">
        <v>6</v>
      </c>
      <c r="C162" t="s">
        <v>13</v>
      </c>
      <c r="D162" t="s">
        <v>104</v>
      </c>
      <c r="E162" t="s">
        <v>9</v>
      </c>
      <c r="F162">
        <v>340</v>
      </c>
      <c r="G162">
        <f t="shared" si="4"/>
        <v>340</v>
      </c>
      <c r="H162">
        <f t="shared" si="5"/>
        <v>0</v>
      </c>
    </row>
    <row r="163" spans="1:8" x14ac:dyDescent="0.25">
      <c r="A163" s="1">
        <v>44514.704861111109</v>
      </c>
      <c r="B163" t="s">
        <v>6</v>
      </c>
      <c r="C163" t="s">
        <v>78</v>
      </c>
      <c r="D163" t="s">
        <v>31</v>
      </c>
      <c r="E163" t="s">
        <v>9</v>
      </c>
      <c r="F163">
        <v>55240</v>
      </c>
      <c r="G163">
        <f t="shared" si="4"/>
        <v>55240</v>
      </c>
      <c r="H163">
        <f t="shared" si="5"/>
        <v>0</v>
      </c>
    </row>
    <row r="164" spans="1:8" x14ac:dyDescent="0.25">
      <c r="A164" s="1">
        <v>44514.705555555556</v>
      </c>
      <c r="B164" t="s">
        <v>6</v>
      </c>
      <c r="C164" t="s">
        <v>13</v>
      </c>
      <c r="D164" t="s">
        <v>122</v>
      </c>
      <c r="E164" t="s">
        <v>9</v>
      </c>
      <c r="F164">
        <v>70</v>
      </c>
      <c r="G164">
        <f t="shared" si="4"/>
        <v>70</v>
      </c>
      <c r="H164">
        <f t="shared" si="5"/>
        <v>0</v>
      </c>
    </row>
    <row r="165" spans="1:8" x14ac:dyDescent="0.25">
      <c r="A165" s="1">
        <v>44518.540972222225</v>
      </c>
      <c r="B165" t="s">
        <v>6</v>
      </c>
      <c r="C165" t="s">
        <v>13</v>
      </c>
      <c r="D165" t="s">
        <v>8</v>
      </c>
      <c r="E165" t="s">
        <v>9</v>
      </c>
      <c r="F165">
        <v>1000</v>
      </c>
      <c r="G165">
        <f t="shared" si="4"/>
        <v>1000</v>
      </c>
      <c r="H165">
        <f t="shared" si="5"/>
        <v>0</v>
      </c>
    </row>
    <row r="166" spans="1:8" x14ac:dyDescent="0.25">
      <c r="A166" s="1">
        <v>44527.77847222222</v>
      </c>
      <c r="B166" t="s">
        <v>6</v>
      </c>
      <c r="C166" t="s">
        <v>16</v>
      </c>
      <c r="D166" t="s">
        <v>123</v>
      </c>
      <c r="E166" t="s">
        <v>12</v>
      </c>
      <c r="F166">
        <v>35</v>
      </c>
      <c r="G166">
        <f t="shared" si="4"/>
        <v>0</v>
      </c>
      <c r="H166">
        <f t="shared" si="5"/>
        <v>35</v>
      </c>
    </row>
    <row r="167" spans="1:8" x14ac:dyDescent="0.25">
      <c r="A167" s="1">
        <v>44527.94027777778</v>
      </c>
      <c r="B167" t="s">
        <v>6</v>
      </c>
      <c r="C167" t="s">
        <v>10</v>
      </c>
      <c r="D167" t="s">
        <v>124</v>
      </c>
      <c r="E167" t="s">
        <v>12</v>
      </c>
      <c r="F167">
        <v>130</v>
      </c>
      <c r="G167">
        <f t="shared" si="4"/>
        <v>0</v>
      </c>
      <c r="H167">
        <f t="shared" si="5"/>
        <v>130</v>
      </c>
    </row>
    <row r="168" spans="1:8" x14ac:dyDescent="0.25">
      <c r="A168" s="1">
        <v>44527.968055555553</v>
      </c>
      <c r="B168" t="s">
        <v>6</v>
      </c>
      <c r="C168" t="s">
        <v>10</v>
      </c>
      <c r="D168" t="s">
        <v>124</v>
      </c>
      <c r="E168" t="s">
        <v>12</v>
      </c>
      <c r="F168">
        <v>120</v>
      </c>
      <c r="G168">
        <f t="shared" si="4"/>
        <v>0</v>
      </c>
      <c r="H168">
        <f t="shared" si="5"/>
        <v>120</v>
      </c>
    </row>
    <row r="169" spans="1:8" x14ac:dyDescent="0.25">
      <c r="A169" s="1">
        <v>44528.548611111109</v>
      </c>
      <c r="B169" t="s">
        <v>6</v>
      </c>
      <c r="C169" t="s">
        <v>10</v>
      </c>
      <c r="D169" t="s">
        <v>125</v>
      </c>
      <c r="E169" t="s">
        <v>12</v>
      </c>
      <c r="F169">
        <v>269.39999999999998</v>
      </c>
      <c r="G169">
        <f t="shared" si="4"/>
        <v>0</v>
      </c>
      <c r="H169">
        <f t="shared" si="5"/>
        <v>269.39999999999998</v>
      </c>
    </row>
    <row r="170" spans="1:8" x14ac:dyDescent="0.25">
      <c r="A170" s="1">
        <v>44528.832638888889</v>
      </c>
      <c r="B170" t="s">
        <v>6</v>
      </c>
      <c r="C170" t="s">
        <v>10</v>
      </c>
      <c r="D170" t="s">
        <v>126</v>
      </c>
      <c r="E170" t="s">
        <v>12</v>
      </c>
      <c r="F170">
        <v>94</v>
      </c>
      <c r="G170">
        <f t="shared" si="4"/>
        <v>0</v>
      </c>
      <c r="H170">
        <f t="shared" si="5"/>
        <v>94</v>
      </c>
    </row>
    <row r="171" spans="1:8" x14ac:dyDescent="0.25">
      <c r="A171" s="1">
        <v>44529.395138888889</v>
      </c>
      <c r="B171" t="s">
        <v>6</v>
      </c>
      <c r="C171" t="s">
        <v>10</v>
      </c>
      <c r="D171" t="s">
        <v>127</v>
      </c>
      <c r="E171" t="s">
        <v>12</v>
      </c>
      <c r="F171">
        <v>40</v>
      </c>
      <c r="G171">
        <f t="shared" si="4"/>
        <v>0</v>
      </c>
      <c r="H171">
        <f t="shared" si="5"/>
        <v>40</v>
      </c>
    </row>
    <row r="172" spans="1:8" x14ac:dyDescent="0.25">
      <c r="A172" s="1">
        <v>44529.839583333334</v>
      </c>
      <c r="B172" t="s">
        <v>6</v>
      </c>
      <c r="C172" t="s">
        <v>10</v>
      </c>
      <c r="D172" t="s">
        <v>114</v>
      </c>
      <c r="E172" t="s">
        <v>12</v>
      </c>
      <c r="F172">
        <v>40</v>
      </c>
      <c r="G172">
        <f t="shared" si="4"/>
        <v>0</v>
      </c>
      <c r="H172">
        <f t="shared" si="5"/>
        <v>40</v>
      </c>
    </row>
    <row r="173" spans="1:8" x14ac:dyDescent="0.25">
      <c r="A173" s="1">
        <v>44529.865972222222</v>
      </c>
      <c r="B173" t="s">
        <v>6</v>
      </c>
      <c r="C173" t="s">
        <v>10</v>
      </c>
      <c r="D173" t="s">
        <v>19</v>
      </c>
      <c r="E173" t="s">
        <v>12</v>
      </c>
      <c r="F173">
        <v>40</v>
      </c>
      <c r="G173">
        <f t="shared" si="4"/>
        <v>0</v>
      </c>
      <c r="H173">
        <f t="shared" si="5"/>
        <v>40</v>
      </c>
    </row>
    <row r="174" spans="1:8" x14ac:dyDescent="0.25">
      <c r="A174" s="1">
        <v>44529.865972222222</v>
      </c>
      <c r="B174" t="s">
        <v>6</v>
      </c>
      <c r="C174" t="s">
        <v>10</v>
      </c>
      <c r="D174" t="s">
        <v>18</v>
      </c>
      <c r="E174" t="s">
        <v>12</v>
      </c>
      <c r="F174">
        <v>50</v>
      </c>
      <c r="G174">
        <f t="shared" si="4"/>
        <v>0</v>
      </c>
      <c r="H174">
        <f t="shared" si="5"/>
        <v>50</v>
      </c>
    </row>
    <row r="175" spans="1:8" x14ac:dyDescent="0.25">
      <c r="A175" s="1">
        <v>44529.913888888892</v>
      </c>
      <c r="B175" t="s">
        <v>6</v>
      </c>
      <c r="C175" t="s">
        <v>16</v>
      </c>
      <c r="D175" t="s">
        <v>20</v>
      </c>
      <c r="E175" t="s">
        <v>12</v>
      </c>
      <c r="F175">
        <v>44</v>
      </c>
      <c r="G175">
        <f t="shared" si="4"/>
        <v>0</v>
      </c>
      <c r="H175">
        <f t="shared" si="5"/>
        <v>44</v>
      </c>
    </row>
    <row r="176" spans="1:8" x14ac:dyDescent="0.25">
      <c r="A176" s="1">
        <v>44530.424305555556</v>
      </c>
      <c r="B176" t="s">
        <v>6</v>
      </c>
      <c r="C176" t="s">
        <v>10</v>
      </c>
      <c r="D176" t="s">
        <v>127</v>
      </c>
      <c r="E176" t="s">
        <v>12</v>
      </c>
      <c r="F176">
        <v>70</v>
      </c>
      <c r="G176">
        <f t="shared" si="4"/>
        <v>0</v>
      </c>
      <c r="H176">
        <f t="shared" si="5"/>
        <v>70</v>
      </c>
    </row>
    <row r="177" spans="1:8" x14ac:dyDescent="0.25">
      <c r="A177" s="1">
        <v>44530.595138888886</v>
      </c>
      <c r="B177" t="s">
        <v>6</v>
      </c>
      <c r="C177" t="s">
        <v>10</v>
      </c>
      <c r="D177" t="s">
        <v>19</v>
      </c>
      <c r="E177" t="s">
        <v>12</v>
      </c>
      <c r="F177">
        <v>128</v>
      </c>
      <c r="G177">
        <f t="shared" si="4"/>
        <v>0</v>
      </c>
      <c r="H177">
        <f t="shared" si="5"/>
        <v>128</v>
      </c>
    </row>
    <row r="178" spans="1:8" x14ac:dyDescent="0.25">
      <c r="A178" s="1">
        <v>44530.6</v>
      </c>
      <c r="B178" t="s">
        <v>6</v>
      </c>
      <c r="C178" t="s">
        <v>56</v>
      </c>
      <c r="D178" t="s">
        <v>128</v>
      </c>
      <c r="E178" t="s">
        <v>12</v>
      </c>
      <c r="F178">
        <v>115</v>
      </c>
      <c r="G178">
        <f t="shared" si="4"/>
        <v>0</v>
      </c>
      <c r="H178">
        <f t="shared" si="5"/>
        <v>115</v>
      </c>
    </row>
    <row r="179" spans="1:8" x14ac:dyDescent="0.25">
      <c r="A179" s="1">
        <v>44531.559027777781</v>
      </c>
      <c r="B179" t="s">
        <v>6</v>
      </c>
      <c r="C179" t="s">
        <v>10</v>
      </c>
      <c r="D179" t="s">
        <v>61</v>
      </c>
      <c r="E179" t="s">
        <v>12</v>
      </c>
      <c r="F179">
        <v>301.75</v>
      </c>
      <c r="G179">
        <f t="shared" si="4"/>
        <v>0</v>
      </c>
      <c r="H179">
        <f t="shared" si="5"/>
        <v>301.75</v>
      </c>
    </row>
    <row r="180" spans="1:8" x14ac:dyDescent="0.25">
      <c r="A180" s="1">
        <v>44531.559027777781</v>
      </c>
      <c r="B180" t="s">
        <v>6</v>
      </c>
      <c r="C180" t="s">
        <v>13</v>
      </c>
      <c r="D180" t="s">
        <v>129</v>
      </c>
      <c r="E180" t="s">
        <v>9</v>
      </c>
      <c r="F180">
        <v>200</v>
      </c>
      <c r="G180">
        <f t="shared" si="4"/>
        <v>200</v>
      </c>
      <c r="H180">
        <f t="shared" si="5"/>
        <v>0</v>
      </c>
    </row>
    <row r="181" spans="1:8" x14ac:dyDescent="0.25">
      <c r="A181" s="1">
        <v>44531.947222222225</v>
      </c>
      <c r="B181" t="s">
        <v>6</v>
      </c>
      <c r="C181" t="s">
        <v>13</v>
      </c>
      <c r="D181" t="s">
        <v>130</v>
      </c>
      <c r="E181" t="s">
        <v>12</v>
      </c>
      <c r="F181">
        <v>479</v>
      </c>
      <c r="G181">
        <f t="shared" si="4"/>
        <v>0</v>
      </c>
      <c r="H181">
        <f t="shared" si="5"/>
        <v>479</v>
      </c>
    </row>
    <row r="182" spans="1:8" x14ac:dyDescent="0.25">
      <c r="A182" s="1">
        <v>44532.615972222222</v>
      </c>
      <c r="B182" t="s">
        <v>6</v>
      </c>
      <c r="C182" t="s">
        <v>13</v>
      </c>
      <c r="D182" t="s">
        <v>8</v>
      </c>
      <c r="E182" t="s">
        <v>9</v>
      </c>
      <c r="F182">
        <v>10000</v>
      </c>
      <c r="G182">
        <f t="shared" si="4"/>
        <v>10000</v>
      </c>
      <c r="H182">
        <f t="shared" si="5"/>
        <v>0</v>
      </c>
    </row>
    <row r="183" spans="1:8" x14ac:dyDescent="0.25">
      <c r="A183" s="1">
        <v>44532.616666666669</v>
      </c>
      <c r="B183" t="s">
        <v>6</v>
      </c>
      <c r="C183" t="s">
        <v>10</v>
      </c>
      <c r="D183" t="s">
        <v>47</v>
      </c>
      <c r="E183" t="s">
        <v>12</v>
      </c>
      <c r="F183">
        <v>80</v>
      </c>
      <c r="G183">
        <f t="shared" si="4"/>
        <v>0</v>
      </c>
      <c r="H183">
        <f t="shared" si="5"/>
        <v>80</v>
      </c>
    </row>
    <row r="184" spans="1:8" x14ac:dyDescent="0.25">
      <c r="A184" s="1">
        <v>44532.669444444444</v>
      </c>
      <c r="B184" t="s">
        <v>6</v>
      </c>
      <c r="C184" t="s">
        <v>14</v>
      </c>
      <c r="D184" t="s">
        <v>131</v>
      </c>
      <c r="E184" t="s">
        <v>12</v>
      </c>
      <c r="F184">
        <v>7770</v>
      </c>
      <c r="G184">
        <f t="shared" si="4"/>
        <v>0</v>
      </c>
      <c r="H184">
        <f t="shared" si="5"/>
        <v>7770</v>
      </c>
    </row>
    <row r="185" spans="1:8" x14ac:dyDescent="0.25">
      <c r="A185" s="1">
        <v>44542.907638888886</v>
      </c>
      <c r="B185" t="s">
        <v>6</v>
      </c>
      <c r="C185" t="s">
        <v>10</v>
      </c>
      <c r="D185" t="s">
        <v>115</v>
      </c>
      <c r="E185" t="s">
        <v>12</v>
      </c>
      <c r="F185">
        <v>25</v>
      </c>
      <c r="G185">
        <f t="shared" si="4"/>
        <v>0</v>
      </c>
      <c r="H185">
        <f t="shared" si="5"/>
        <v>25</v>
      </c>
    </row>
    <row r="186" spans="1:8" x14ac:dyDescent="0.25">
      <c r="A186" s="1">
        <v>44544.439583333333</v>
      </c>
      <c r="B186" t="s">
        <v>6</v>
      </c>
      <c r="C186" t="s">
        <v>10</v>
      </c>
      <c r="D186" t="s">
        <v>115</v>
      </c>
      <c r="E186" t="s">
        <v>12</v>
      </c>
      <c r="F186">
        <v>65</v>
      </c>
      <c r="G186">
        <f t="shared" si="4"/>
        <v>0</v>
      </c>
      <c r="H186">
        <f t="shared" si="5"/>
        <v>65</v>
      </c>
    </row>
    <row r="187" spans="1:8" x14ac:dyDescent="0.25">
      <c r="A187" s="1">
        <v>44544.88958333333</v>
      </c>
      <c r="B187" t="s">
        <v>6</v>
      </c>
      <c r="C187" t="s">
        <v>10</v>
      </c>
      <c r="D187" t="s">
        <v>11</v>
      </c>
      <c r="E187" t="s">
        <v>12</v>
      </c>
      <c r="F187">
        <v>75</v>
      </c>
      <c r="G187">
        <f t="shared" si="4"/>
        <v>0</v>
      </c>
      <c r="H187">
        <f t="shared" si="5"/>
        <v>75</v>
      </c>
    </row>
    <row r="188" spans="1:8" x14ac:dyDescent="0.25">
      <c r="A188" s="1">
        <v>44544.995833333334</v>
      </c>
      <c r="B188" t="s">
        <v>6</v>
      </c>
      <c r="C188" t="s">
        <v>10</v>
      </c>
      <c r="D188" t="s">
        <v>47</v>
      </c>
      <c r="E188" t="s">
        <v>12</v>
      </c>
      <c r="F188">
        <v>400</v>
      </c>
      <c r="G188">
        <f t="shared" si="4"/>
        <v>0</v>
      </c>
      <c r="H188">
        <f t="shared" si="5"/>
        <v>400</v>
      </c>
    </row>
    <row r="189" spans="1:8" x14ac:dyDescent="0.25">
      <c r="A189" s="1">
        <v>44546.568055555559</v>
      </c>
      <c r="B189" t="s">
        <v>6</v>
      </c>
      <c r="C189" t="s">
        <v>10</v>
      </c>
      <c r="D189" t="s">
        <v>47</v>
      </c>
      <c r="E189" t="s">
        <v>12</v>
      </c>
      <c r="F189">
        <v>30</v>
      </c>
      <c r="G189">
        <f t="shared" si="4"/>
        <v>0</v>
      </c>
      <c r="H189">
        <f t="shared" si="5"/>
        <v>30</v>
      </c>
    </row>
    <row r="190" spans="1:8" x14ac:dyDescent="0.25">
      <c r="A190" s="1">
        <v>44546.774305555555</v>
      </c>
      <c r="B190" t="s">
        <v>6</v>
      </c>
      <c r="C190" t="s">
        <v>10</v>
      </c>
      <c r="D190" t="s">
        <v>114</v>
      </c>
      <c r="E190" t="s">
        <v>12</v>
      </c>
      <c r="F190">
        <v>20</v>
      </c>
      <c r="G190">
        <f t="shared" si="4"/>
        <v>0</v>
      </c>
      <c r="H190">
        <f t="shared" si="5"/>
        <v>20</v>
      </c>
    </row>
    <row r="191" spans="1:8" x14ac:dyDescent="0.25">
      <c r="A191" s="1">
        <v>44546.780555555553</v>
      </c>
      <c r="B191" t="s">
        <v>6</v>
      </c>
      <c r="C191" t="s">
        <v>10</v>
      </c>
      <c r="D191" t="s">
        <v>132</v>
      </c>
      <c r="E191" t="s">
        <v>12</v>
      </c>
      <c r="F191">
        <v>300</v>
      </c>
      <c r="G191">
        <f t="shared" si="4"/>
        <v>0</v>
      </c>
      <c r="H191">
        <f t="shared" si="5"/>
        <v>300</v>
      </c>
    </row>
    <row r="192" spans="1:8" x14ac:dyDescent="0.25">
      <c r="A192" s="1">
        <v>44547.614583333336</v>
      </c>
      <c r="B192" t="s">
        <v>6</v>
      </c>
      <c r="C192" t="s">
        <v>10</v>
      </c>
      <c r="D192" t="s">
        <v>19</v>
      </c>
      <c r="E192" t="s">
        <v>12</v>
      </c>
      <c r="F192">
        <v>110</v>
      </c>
      <c r="G192">
        <f t="shared" si="4"/>
        <v>0</v>
      </c>
      <c r="H192">
        <f t="shared" si="5"/>
        <v>110</v>
      </c>
    </row>
    <row r="193" spans="1:8" x14ac:dyDescent="0.25">
      <c r="A193" s="1">
        <v>44547.787499999999</v>
      </c>
      <c r="B193" t="s">
        <v>6</v>
      </c>
      <c r="C193" t="s">
        <v>10</v>
      </c>
      <c r="D193" t="s">
        <v>115</v>
      </c>
      <c r="E193" t="s">
        <v>12</v>
      </c>
      <c r="F193">
        <v>700</v>
      </c>
      <c r="G193">
        <f t="shared" si="4"/>
        <v>0</v>
      </c>
      <c r="H193">
        <f t="shared" si="5"/>
        <v>700</v>
      </c>
    </row>
    <row r="194" spans="1:8" x14ac:dyDescent="0.25">
      <c r="A194" s="1">
        <v>44548.59652777778</v>
      </c>
      <c r="B194" t="s">
        <v>6</v>
      </c>
      <c r="C194" t="s">
        <v>10</v>
      </c>
      <c r="D194" t="s">
        <v>47</v>
      </c>
      <c r="E194" t="s">
        <v>12</v>
      </c>
      <c r="F194">
        <v>160</v>
      </c>
      <c r="G194">
        <f t="shared" si="4"/>
        <v>0</v>
      </c>
      <c r="H194">
        <f t="shared" si="5"/>
        <v>160</v>
      </c>
    </row>
    <row r="195" spans="1:8" x14ac:dyDescent="0.25">
      <c r="A195" s="1">
        <v>44548.827777777777</v>
      </c>
      <c r="B195" t="s">
        <v>6</v>
      </c>
      <c r="C195" t="s">
        <v>13</v>
      </c>
      <c r="D195" t="s">
        <v>133</v>
      </c>
      <c r="E195" t="s">
        <v>9</v>
      </c>
      <c r="F195">
        <v>400</v>
      </c>
      <c r="G195">
        <f t="shared" ref="G195:G226" si="6">IF(E195="Income", F195, 0)</f>
        <v>400</v>
      </c>
      <c r="H195">
        <f t="shared" ref="H195:H226" si="7">IF(E195="Expense", F195, 0)</f>
        <v>0</v>
      </c>
    </row>
    <row r="196" spans="1:8" x14ac:dyDescent="0.25">
      <c r="A196" s="1">
        <v>44548.875</v>
      </c>
      <c r="B196" t="s">
        <v>6</v>
      </c>
      <c r="C196" t="s">
        <v>10</v>
      </c>
      <c r="D196" t="s">
        <v>134</v>
      </c>
      <c r="E196" t="s">
        <v>12</v>
      </c>
      <c r="F196">
        <v>113</v>
      </c>
      <c r="G196">
        <f t="shared" si="6"/>
        <v>0</v>
      </c>
      <c r="H196">
        <f t="shared" si="7"/>
        <v>113</v>
      </c>
    </row>
    <row r="197" spans="1:8" x14ac:dyDescent="0.25">
      <c r="A197" s="1">
        <v>44548.875</v>
      </c>
      <c r="B197" t="s">
        <v>6</v>
      </c>
      <c r="C197" t="s">
        <v>7</v>
      </c>
      <c r="D197" t="s">
        <v>8</v>
      </c>
      <c r="E197" t="s">
        <v>9</v>
      </c>
      <c r="F197">
        <v>5000</v>
      </c>
      <c r="G197">
        <f t="shared" si="6"/>
        <v>5000</v>
      </c>
      <c r="H197">
        <f t="shared" si="7"/>
        <v>0</v>
      </c>
    </row>
    <row r="198" spans="1:8" x14ac:dyDescent="0.25">
      <c r="A198" s="1">
        <v>44548.875694444447</v>
      </c>
      <c r="B198" t="s">
        <v>6</v>
      </c>
      <c r="C198" t="s">
        <v>13</v>
      </c>
      <c r="D198" t="s">
        <v>135</v>
      </c>
      <c r="E198" t="s">
        <v>12</v>
      </c>
      <c r="F198">
        <v>200</v>
      </c>
      <c r="G198">
        <f t="shared" si="6"/>
        <v>0</v>
      </c>
      <c r="H198">
        <f t="shared" si="7"/>
        <v>200</v>
      </c>
    </row>
    <row r="199" spans="1:8" x14ac:dyDescent="0.25">
      <c r="A199" s="1">
        <v>44549.660416666666</v>
      </c>
      <c r="B199" t="s">
        <v>6</v>
      </c>
      <c r="C199" t="s">
        <v>13</v>
      </c>
      <c r="D199" t="s">
        <v>136</v>
      </c>
      <c r="E199" t="s">
        <v>12</v>
      </c>
      <c r="F199">
        <v>10000</v>
      </c>
      <c r="G199">
        <f t="shared" si="6"/>
        <v>0</v>
      </c>
      <c r="H199">
        <f t="shared" si="7"/>
        <v>10000</v>
      </c>
    </row>
    <row r="200" spans="1:8" x14ac:dyDescent="0.25">
      <c r="A200" s="1">
        <v>44550.406944444447</v>
      </c>
      <c r="B200" t="s">
        <v>6</v>
      </c>
      <c r="C200" t="s">
        <v>10</v>
      </c>
      <c r="D200" t="s">
        <v>115</v>
      </c>
      <c r="E200" t="s">
        <v>12</v>
      </c>
      <c r="F200">
        <v>40</v>
      </c>
      <c r="G200">
        <f t="shared" si="6"/>
        <v>0</v>
      </c>
      <c r="H200">
        <f t="shared" si="7"/>
        <v>40</v>
      </c>
    </row>
    <row r="201" spans="1:8" x14ac:dyDescent="0.25">
      <c r="A201" s="1">
        <v>44550.565972222219</v>
      </c>
      <c r="B201" t="s">
        <v>6</v>
      </c>
      <c r="C201" t="s">
        <v>10</v>
      </c>
      <c r="D201" t="s">
        <v>137</v>
      </c>
      <c r="E201" t="s">
        <v>12</v>
      </c>
      <c r="F201">
        <v>85</v>
      </c>
      <c r="G201">
        <f t="shared" si="6"/>
        <v>0</v>
      </c>
      <c r="H201">
        <f t="shared" si="7"/>
        <v>85</v>
      </c>
    </row>
    <row r="202" spans="1:8" x14ac:dyDescent="0.25">
      <c r="A202" s="1">
        <v>44550.645138888889</v>
      </c>
      <c r="B202" t="s">
        <v>6</v>
      </c>
      <c r="C202" t="s">
        <v>10</v>
      </c>
      <c r="D202" t="s">
        <v>138</v>
      </c>
      <c r="E202" t="s">
        <v>12</v>
      </c>
      <c r="F202">
        <v>20</v>
      </c>
      <c r="G202">
        <f t="shared" si="6"/>
        <v>0</v>
      </c>
      <c r="H202">
        <f t="shared" si="7"/>
        <v>20</v>
      </c>
    </row>
    <row r="203" spans="1:8" x14ac:dyDescent="0.25">
      <c r="A203" s="1">
        <v>44550.704861111109</v>
      </c>
      <c r="B203" t="s">
        <v>6</v>
      </c>
      <c r="C203" t="s">
        <v>10</v>
      </c>
      <c r="D203" t="s">
        <v>11</v>
      </c>
      <c r="E203" t="s">
        <v>12</v>
      </c>
      <c r="F203">
        <v>20</v>
      </c>
      <c r="G203">
        <f t="shared" si="6"/>
        <v>0</v>
      </c>
      <c r="H203">
        <f t="shared" si="7"/>
        <v>20</v>
      </c>
    </row>
    <row r="204" spans="1:8" x14ac:dyDescent="0.25">
      <c r="A204" s="1">
        <v>44550.806944444441</v>
      </c>
      <c r="B204" t="s">
        <v>6</v>
      </c>
      <c r="C204" t="s">
        <v>16</v>
      </c>
      <c r="D204" t="s">
        <v>139</v>
      </c>
      <c r="E204" t="s">
        <v>12</v>
      </c>
      <c r="F204">
        <v>800</v>
      </c>
      <c r="G204">
        <f t="shared" si="6"/>
        <v>0</v>
      </c>
      <c r="H204">
        <f t="shared" si="7"/>
        <v>800</v>
      </c>
    </row>
    <row r="205" spans="1:8" x14ac:dyDescent="0.25">
      <c r="A205" s="1">
        <v>44550.807638888888</v>
      </c>
      <c r="B205" t="s">
        <v>6</v>
      </c>
      <c r="C205" t="s">
        <v>10</v>
      </c>
      <c r="D205" t="s">
        <v>115</v>
      </c>
      <c r="E205" t="s">
        <v>12</v>
      </c>
      <c r="F205">
        <v>80</v>
      </c>
      <c r="G205">
        <f t="shared" si="6"/>
        <v>0</v>
      </c>
      <c r="H205">
        <f t="shared" si="7"/>
        <v>80</v>
      </c>
    </row>
    <row r="206" spans="1:8" x14ac:dyDescent="0.25">
      <c r="A206" s="1">
        <v>44551.488194444442</v>
      </c>
      <c r="B206" t="s">
        <v>6</v>
      </c>
      <c r="C206" t="s">
        <v>10</v>
      </c>
      <c r="D206" t="s">
        <v>140</v>
      </c>
      <c r="E206" t="s">
        <v>12</v>
      </c>
      <c r="F206">
        <v>18</v>
      </c>
      <c r="G206">
        <f t="shared" si="6"/>
        <v>0</v>
      </c>
      <c r="H206">
        <f t="shared" si="7"/>
        <v>18</v>
      </c>
    </row>
    <row r="207" spans="1:8" x14ac:dyDescent="0.25">
      <c r="A207" s="1">
        <v>44551.584722222222</v>
      </c>
      <c r="B207" t="s">
        <v>6</v>
      </c>
      <c r="C207" t="s">
        <v>10</v>
      </c>
      <c r="D207" t="s">
        <v>141</v>
      </c>
      <c r="E207" t="s">
        <v>12</v>
      </c>
      <c r="F207">
        <v>25</v>
      </c>
      <c r="G207">
        <f t="shared" si="6"/>
        <v>0</v>
      </c>
      <c r="H207">
        <f t="shared" si="7"/>
        <v>25</v>
      </c>
    </row>
    <row r="208" spans="1:8" x14ac:dyDescent="0.25">
      <c r="A208" s="1">
        <v>44551.870138888888</v>
      </c>
      <c r="B208" t="s">
        <v>6</v>
      </c>
      <c r="C208" t="s">
        <v>10</v>
      </c>
      <c r="D208" t="s">
        <v>40</v>
      </c>
      <c r="E208" t="s">
        <v>12</v>
      </c>
      <c r="F208">
        <v>239</v>
      </c>
      <c r="G208">
        <f t="shared" si="6"/>
        <v>0</v>
      </c>
      <c r="H208">
        <f t="shared" si="7"/>
        <v>239</v>
      </c>
    </row>
    <row r="209" spans="1:8" x14ac:dyDescent="0.25">
      <c r="A209" s="1">
        <v>44553.57708333333</v>
      </c>
      <c r="B209" t="s">
        <v>6</v>
      </c>
      <c r="C209" t="s">
        <v>10</v>
      </c>
      <c r="D209" t="s">
        <v>142</v>
      </c>
      <c r="E209" t="s">
        <v>12</v>
      </c>
      <c r="F209">
        <v>32</v>
      </c>
      <c r="G209">
        <f t="shared" si="6"/>
        <v>0</v>
      </c>
      <c r="H209">
        <f t="shared" si="7"/>
        <v>32</v>
      </c>
    </row>
    <row r="210" spans="1:8" x14ac:dyDescent="0.25">
      <c r="A210" s="1">
        <v>44553.688194444447</v>
      </c>
      <c r="B210" t="s">
        <v>6</v>
      </c>
      <c r="C210" t="s">
        <v>10</v>
      </c>
      <c r="D210" t="s">
        <v>143</v>
      </c>
      <c r="E210" t="s">
        <v>12</v>
      </c>
      <c r="F210">
        <v>15</v>
      </c>
      <c r="G210">
        <f t="shared" si="6"/>
        <v>0</v>
      </c>
      <c r="H210">
        <f t="shared" si="7"/>
        <v>15</v>
      </c>
    </row>
    <row r="211" spans="1:8" x14ac:dyDescent="0.25">
      <c r="A211" s="1">
        <v>44554.607638888891</v>
      </c>
      <c r="B211" t="s">
        <v>6</v>
      </c>
      <c r="C211" t="s">
        <v>10</v>
      </c>
      <c r="D211" t="s">
        <v>19</v>
      </c>
      <c r="E211" t="s">
        <v>12</v>
      </c>
      <c r="F211">
        <v>262</v>
      </c>
      <c r="G211">
        <f t="shared" si="6"/>
        <v>0</v>
      </c>
      <c r="H211">
        <f t="shared" si="7"/>
        <v>262</v>
      </c>
    </row>
    <row r="212" spans="1:8" x14ac:dyDescent="0.25">
      <c r="A212" s="1">
        <v>44555.563888888886</v>
      </c>
      <c r="B212" t="s">
        <v>6</v>
      </c>
      <c r="C212" t="s">
        <v>10</v>
      </c>
      <c r="D212" t="s">
        <v>115</v>
      </c>
      <c r="E212" t="s">
        <v>12</v>
      </c>
      <c r="F212">
        <v>40</v>
      </c>
      <c r="G212">
        <f t="shared" si="6"/>
        <v>0</v>
      </c>
      <c r="H212">
        <f t="shared" si="7"/>
        <v>40</v>
      </c>
    </row>
    <row r="213" spans="1:8" x14ac:dyDescent="0.25">
      <c r="A213" s="1">
        <v>44555.649305555555</v>
      </c>
      <c r="B213" t="s">
        <v>6</v>
      </c>
      <c r="C213" t="s">
        <v>10</v>
      </c>
      <c r="D213" t="s">
        <v>138</v>
      </c>
      <c r="E213" t="s">
        <v>12</v>
      </c>
      <c r="F213">
        <v>30</v>
      </c>
      <c r="G213">
        <f t="shared" si="6"/>
        <v>0</v>
      </c>
      <c r="H213">
        <f t="shared" si="7"/>
        <v>30</v>
      </c>
    </row>
    <row r="214" spans="1:8" x14ac:dyDescent="0.25">
      <c r="A214" s="1">
        <v>44555.709027777775</v>
      </c>
      <c r="B214" t="s">
        <v>6</v>
      </c>
      <c r="C214" t="s">
        <v>10</v>
      </c>
      <c r="D214" t="s">
        <v>144</v>
      </c>
      <c r="E214" t="s">
        <v>12</v>
      </c>
      <c r="F214">
        <v>300</v>
      </c>
      <c r="G214">
        <f t="shared" si="6"/>
        <v>0</v>
      </c>
      <c r="H214">
        <f t="shared" si="7"/>
        <v>300</v>
      </c>
    </row>
    <row r="215" spans="1:8" x14ac:dyDescent="0.25">
      <c r="A215" s="1">
        <v>44555.826388888891</v>
      </c>
      <c r="B215" t="s">
        <v>6</v>
      </c>
      <c r="C215" t="s">
        <v>56</v>
      </c>
      <c r="D215" t="s">
        <v>145</v>
      </c>
      <c r="E215" t="s">
        <v>12</v>
      </c>
      <c r="F215">
        <v>400</v>
      </c>
      <c r="G215">
        <f t="shared" si="6"/>
        <v>0</v>
      </c>
      <c r="H215">
        <f t="shared" si="7"/>
        <v>400</v>
      </c>
    </row>
    <row r="216" spans="1:8" x14ac:dyDescent="0.25">
      <c r="A216" s="1">
        <v>44555.953472222223</v>
      </c>
      <c r="B216" t="s">
        <v>6</v>
      </c>
      <c r="C216" t="s">
        <v>10</v>
      </c>
      <c r="D216" t="s">
        <v>40</v>
      </c>
      <c r="E216" t="s">
        <v>12</v>
      </c>
      <c r="F216">
        <v>504</v>
      </c>
      <c r="G216">
        <f t="shared" si="6"/>
        <v>0</v>
      </c>
      <c r="H216">
        <f t="shared" si="7"/>
        <v>504</v>
      </c>
    </row>
    <row r="217" spans="1:8" x14ac:dyDescent="0.25">
      <c r="A217" s="1">
        <v>44557.522916666669</v>
      </c>
      <c r="B217" t="s">
        <v>6</v>
      </c>
      <c r="C217" t="s">
        <v>10</v>
      </c>
      <c r="D217" t="s">
        <v>146</v>
      </c>
      <c r="E217" t="s">
        <v>12</v>
      </c>
      <c r="F217">
        <v>50</v>
      </c>
      <c r="G217">
        <f t="shared" si="6"/>
        <v>0</v>
      </c>
      <c r="H217">
        <f t="shared" si="7"/>
        <v>50</v>
      </c>
    </row>
    <row r="218" spans="1:8" x14ac:dyDescent="0.25">
      <c r="A218" s="1">
        <v>44557.572222222225</v>
      </c>
      <c r="B218" t="s">
        <v>6</v>
      </c>
      <c r="C218" t="s">
        <v>13</v>
      </c>
      <c r="D218" t="s">
        <v>25</v>
      </c>
      <c r="E218" t="s">
        <v>9</v>
      </c>
      <c r="F218">
        <v>80</v>
      </c>
      <c r="G218">
        <f t="shared" si="6"/>
        <v>80</v>
      </c>
      <c r="H218">
        <f t="shared" si="7"/>
        <v>0</v>
      </c>
    </row>
    <row r="219" spans="1:8" x14ac:dyDescent="0.25">
      <c r="A219" s="1">
        <v>44557.572916666664</v>
      </c>
      <c r="B219" t="s">
        <v>6</v>
      </c>
      <c r="C219" t="s">
        <v>10</v>
      </c>
      <c r="D219" t="s">
        <v>137</v>
      </c>
      <c r="E219" t="s">
        <v>12</v>
      </c>
      <c r="F219">
        <v>115</v>
      </c>
      <c r="G219">
        <f t="shared" si="6"/>
        <v>0</v>
      </c>
      <c r="H219">
        <f t="shared" si="7"/>
        <v>115</v>
      </c>
    </row>
    <row r="220" spans="1:8" x14ac:dyDescent="0.25">
      <c r="A220" s="1">
        <v>44558.570833333331</v>
      </c>
      <c r="B220" t="s">
        <v>6</v>
      </c>
      <c r="C220" t="s">
        <v>10</v>
      </c>
      <c r="D220" t="s">
        <v>147</v>
      </c>
      <c r="E220" t="s">
        <v>12</v>
      </c>
      <c r="F220">
        <v>14</v>
      </c>
      <c r="G220">
        <f t="shared" si="6"/>
        <v>0</v>
      </c>
      <c r="H220">
        <f t="shared" si="7"/>
        <v>14</v>
      </c>
    </row>
    <row r="221" spans="1:8" x14ac:dyDescent="0.25">
      <c r="A221" s="1">
        <v>44560.489583333336</v>
      </c>
      <c r="B221" t="s">
        <v>6</v>
      </c>
      <c r="C221" t="s">
        <v>10</v>
      </c>
      <c r="D221" t="s">
        <v>138</v>
      </c>
      <c r="E221" t="s">
        <v>12</v>
      </c>
      <c r="F221">
        <v>20</v>
      </c>
      <c r="G221">
        <f t="shared" si="6"/>
        <v>0</v>
      </c>
      <c r="H221">
        <f t="shared" si="7"/>
        <v>20</v>
      </c>
    </row>
    <row r="222" spans="1:8" x14ac:dyDescent="0.25">
      <c r="A222" s="1">
        <v>44560.525694444441</v>
      </c>
      <c r="B222" t="s">
        <v>6</v>
      </c>
      <c r="C222" t="s">
        <v>13</v>
      </c>
      <c r="D222" t="s">
        <v>108</v>
      </c>
      <c r="E222" t="s">
        <v>9</v>
      </c>
      <c r="F222">
        <v>250</v>
      </c>
      <c r="G222">
        <f t="shared" si="6"/>
        <v>250</v>
      </c>
      <c r="H222">
        <f t="shared" si="7"/>
        <v>0</v>
      </c>
    </row>
    <row r="223" spans="1:8" x14ac:dyDescent="0.25">
      <c r="A223" s="1">
        <v>44560.529861111114</v>
      </c>
      <c r="B223" t="s">
        <v>6</v>
      </c>
      <c r="C223" t="s">
        <v>10</v>
      </c>
      <c r="D223" t="s">
        <v>148</v>
      </c>
      <c r="E223" t="s">
        <v>12</v>
      </c>
      <c r="F223">
        <v>25</v>
      </c>
      <c r="G223">
        <f t="shared" si="6"/>
        <v>0</v>
      </c>
      <c r="H223">
        <f t="shared" si="7"/>
        <v>25</v>
      </c>
    </row>
    <row r="224" spans="1:8" x14ac:dyDescent="0.25">
      <c r="A224" s="1">
        <v>44560.566666666666</v>
      </c>
      <c r="B224" t="s">
        <v>6</v>
      </c>
      <c r="C224" t="s">
        <v>78</v>
      </c>
      <c r="D224" t="s">
        <v>31</v>
      </c>
      <c r="E224" t="s">
        <v>9</v>
      </c>
      <c r="F224">
        <v>55530</v>
      </c>
      <c r="G224">
        <f t="shared" si="6"/>
        <v>55530</v>
      </c>
      <c r="H224">
        <f t="shared" si="7"/>
        <v>0</v>
      </c>
    </row>
    <row r="225" spans="1:9" x14ac:dyDescent="0.25">
      <c r="A225" s="1">
        <v>44560.580555555556</v>
      </c>
      <c r="B225" t="s">
        <v>6</v>
      </c>
      <c r="C225" t="s">
        <v>16</v>
      </c>
      <c r="D225" t="s">
        <v>149</v>
      </c>
      <c r="E225" t="s">
        <v>12</v>
      </c>
      <c r="F225">
        <v>43</v>
      </c>
      <c r="G225">
        <f t="shared" si="6"/>
        <v>0</v>
      </c>
      <c r="H225">
        <f t="shared" si="7"/>
        <v>43</v>
      </c>
    </row>
    <row r="226" spans="1:9" x14ac:dyDescent="0.25">
      <c r="A226" s="1">
        <v>44560.590277777781</v>
      </c>
      <c r="B226" t="s">
        <v>6</v>
      </c>
      <c r="C226" t="s">
        <v>10</v>
      </c>
      <c r="D226" t="s">
        <v>150</v>
      </c>
      <c r="E226" t="s">
        <v>12</v>
      </c>
      <c r="F226">
        <v>20</v>
      </c>
      <c r="G226">
        <f t="shared" si="6"/>
        <v>0</v>
      </c>
      <c r="H226">
        <f t="shared" si="7"/>
        <v>20</v>
      </c>
    </row>
    <row r="227" spans="1:9" x14ac:dyDescent="0.25">
      <c r="G227">
        <f>SUM(G2:G226)</f>
        <v>698147</v>
      </c>
      <c r="H227">
        <f>SUM(H2:H226)</f>
        <v>149853.28</v>
      </c>
      <c r="I227">
        <f>G227-H227</f>
        <v>548293.72</v>
      </c>
    </row>
  </sheetData>
  <autoFilter ref="A1:G226" xr:uid="{114DBB12-C8CB-4B08-8991-39345C12E75C}"/>
  <dataConsolidate topLabel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26990-BFC8-4DBE-B77B-E5AFC660AE11}">
  <dimension ref="B4:N142"/>
  <sheetViews>
    <sheetView workbookViewId="0">
      <selection activeCell="G2" sqref="G2"/>
    </sheetView>
  </sheetViews>
  <sheetFormatPr defaultRowHeight="15" x14ac:dyDescent="0.25"/>
  <cols>
    <col min="2" max="2" width="20.140625" bestFit="1" customWidth="1"/>
    <col min="3" max="3" width="14.28515625" bestFit="1" customWidth="1"/>
    <col min="5" max="5" width="14.28515625" bestFit="1" customWidth="1"/>
    <col min="6" max="6" width="10" bestFit="1" customWidth="1"/>
    <col min="8" max="8" width="15.42578125" bestFit="1" customWidth="1"/>
    <col min="10" max="10" width="16" bestFit="1" customWidth="1"/>
    <col min="11" max="11" width="19" bestFit="1" customWidth="1"/>
    <col min="12" max="12" width="14.28515625" bestFit="1" customWidth="1"/>
    <col min="13" max="13" width="40.42578125" bestFit="1" customWidth="1"/>
    <col min="14" max="15" width="19" bestFit="1" customWidth="1"/>
    <col min="16" max="16" width="14.140625" bestFit="1" customWidth="1"/>
    <col min="17" max="17" width="11.28515625" bestFit="1" customWidth="1"/>
    <col min="18" max="18" width="16" bestFit="1" customWidth="1"/>
    <col min="19" max="19" width="19" bestFit="1" customWidth="1"/>
    <col min="20" max="20" width="8" bestFit="1" customWidth="1"/>
    <col min="21" max="21" width="10" bestFit="1" customWidth="1"/>
    <col min="22" max="22" width="17.7109375" bestFit="1" customWidth="1"/>
    <col min="23" max="23" width="20.85546875" bestFit="1" customWidth="1"/>
    <col min="24" max="24" width="7.85546875" bestFit="1" customWidth="1"/>
    <col min="25" max="25" width="10.85546875" bestFit="1" customWidth="1"/>
    <col min="26" max="26" width="20.5703125" bestFit="1" customWidth="1"/>
    <col min="27" max="27" width="23.7109375" bestFit="1" customWidth="1"/>
    <col min="28" max="28" width="8.140625" bestFit="1" customWidth="1"/>
    <col min="29" max="30" width="11.140625" bestFit="1" customWidth="1"/>
    <col min="31" max="31" width="14.28515625" bestFit="1" customWidth="1"/>
    <col min="32" max="32" width="10.28515625" bestFit="1" customWidth="1"/>
    <col min="33" max="33" width="13.42578125" bestFit="1" customWidth="1"/>
    <col min="34" max="34" width="9" bestFit="1" customWidth="1"/>
    <col min="35" max="35" width="12" bestFit="1" customWidth="1"/>
    <col min="36" max="36" width="6.28515625" bestFit="1" customWidth="1"/>
    <col min="37" max="37" width="9.28515625" bestFit="1" customWidth="1"/>
    <col min="38" max="38" width="14.140625" bestFit="1" customWidth="1"/>
    <col min="39" max="39" width="14.5703125" bestFit="1" customWidth="1"/>
    <col min="40" max="40" width="17.7109375" bestFit="1" customWidth="1"/>
    <col min="41" max="41" width="20.85546875" bestFit="1" customWidth="1"/>
    <col min="42" max="42" width="14.140625" bestFit="1" customWidth="1"/>
    <col min="43" max="43" width="9.140625" bestFit="1" customWidth="1"/>
    <col min="44" max="44" width="11" bestFit="1" customWidth="1"/>
    <col min="45" max="45" width="14.140625" bestFit="1" customWidth="1"/>
    <col min="46" max="46" width="23.7109375" bestFit="1" customWidth="1"/>
    <col min="47" max="47" width="26.85546875" bestFit="1" customWidth="1"/>
    <col min="48" max="48" width="16.7109375" bestFit="1" customWidth="1"/>
    <col min="49" max="49" width="19.85546875" bestFit="1" customWidth="1"/>
    <col min="50" max="50" width="19.140625" bestFit="1" customWidth="1"/>
    <col min="51" max="51" width="22.28515625" bestFit="1" customWidth="1"/>
    <col min="52" max="52" width="7" bestFit="1" customWidth="1"/>
    <col min="53" max="53" width="10" bestFit="1" customWidth="1"/>
    <col min="54" max="54" width="13.5703125" bestFit="1" customWidth="1"/>
    <col min="55" max="55" width="16.7109375" bestFit="1" customWidth="1"/>
    <col min="56" max="56" width="11.5703125" bestFit="1" customWidth="1"/>
    <col min="57" max="57" width="14.7109375" bestFit="1" customWidth="1"/>
    <col min="58" max="58" width="11.7109375" bestFit="1" customWidth="1"/>
    <col min="59" max="59" width="14.85546875" bestFit="1" customWidth="1"/>
    <col min="60" max="60" width="8.85546875" bestFit="1" customWidth="1"/>
    <col min="61" max="61" width="11.85546875" bestFit="1" customWidth="1"/>
    <col min="62" max="62" width="20.5703125" bestFit="1" customWidth="1"/>
    <col min="63" max="63" width="23.7109375" bestFit="1" customWidth="1"/>
    <col min="64" max="64" width="32.28515625" bestFit="1" customWidth="1"/>
    <col min="65" max="65" width="35.42578125" bestFit="1" customWidth="1"/>
    <col min="66" max="66" width="19.7109375" bestFit="1" customWidth="1"/>
    <col min="67" max="67" width="22.85546875" bestFit="1" customWidth="1"/>
    <col min="68" max="68" width="22.7109375" bestFit="1" customWidth="1"/>
    <col min="69" max="69" width="26" bestFit="1" customWidth="1"/>
    <col min="70" max="70" width="23.42578125" bestFit="1" customWidth="1"/>
    <col min="71" max="71" width="26.5703125" bestFit="1" customWidth="1"/>
    <col min="72" max="72" width="11.28515625" bestFit="1" customWidth="1"/>
    <col min="73" max="73" width="14.42578125" bestFit="1" customWidth="1"/>
    <col min="74" max="74" width="5.85546875" bestFit="1" customWidth="1"/>
    <col min="75" max="75" width="8.85546875" bestFit="1" customWidth="1"/>
    <col min="76" max="76" width="6.7109375" bestFit="1" customWidth="1"/>
    <col min="77" max="77" width="9.7109375" bestFit="1" customWidth="1"/>
    <col min="78" max="78" width="11.28515625" bestFit="1" customWidth="1"/>
    <col min="79" max="79" width="14.42578125" bestFit="1" customWidth="1"/>
    <col min="80" max="80" width="31" bestFit="1" customWidth="1"/>
    <col min="81" max="81" width="34.28515625" bestFit="1" customWidth="1"/>
    <col min="82" max="82" width="10.5703125" bestFit="1" customWidth="1"/>
    <col min="83" max="83" width="13.7109375" bestFit="1" customWidth="1"/>
    <col min="84" max="84" width="13.5703125" bestFit="1" customWidth="1"/>
    <col min="85" max="85" width="16.7109375" bestFit="1" customWidth="1"/>
    <col min="86" max="86" width="24" bestFit="1" customWidth="1"/>
    <col min="87" max="87" width="27.140625" bestFit="1" customWidth="1"/>
    <col min="88" max="89" width="11.140625" bestFit="1" customWidth="1"/>
    <col min="90" max="90" width="14.28515625" bestFit="1" customWidth="1"/>
    <col min="91" max="91" width="14.5703125" bestFit="1" customWidth="1"/>
    <col min="92" max="92" width="17.85546875" bestFit="1" customWidth="1"/>
    <col min="93" max="93" width="15.28515625" bestFit="1" customWidth="1"/>
    <col min="94" max="94" width="18.42578125" bestFit="1" customWidth="1"/>
    <col min="95" max="95" width="16.7109375" bestFit="1" customWidth="1"/>
    <col min="96" max="96" width="19.85546875" bestFit="1" customWidth="1"/>
    <col min="97" max="97" width="14.42578125" bestFit="1" customWidth="1"/>
    <col min="98" max="98" width="17.7109375" bestFit="1" customWidth="1"/>
    <col min="99" max="99" width="13.7109375" bestFit="1" customWidth="1"/>
    <col min="100" max="100" width="16.85546875" bestFit="1" customWidth="1"/>
    <col min="101" max="101" width="12.28515625" bestFit="1" customWidth="1"/>
    <col min="102" max="102" width="15.42578125" bestFit="1" customWidth="1"/>
    <col min="103" max="103" width="9.42578125" bestFit="1" customWidth="1"/>
    <col min="104" max="104" width="12.42578125" bestFit="1" customWidth="1"/>
    <col min="105" max="105" width="19.140625" bestFit="1" customWidth="1"/>
    <col min="106" max="106" width="22.28515625" bestFit="1" customWidth="1"/>
    <col min="107" max="107" width="12.42578125" bestFit="1" customWidth="1"/>
    <col min="108" max="108" width="15.5703125" bestFit="1" customWidth="1"/>
    <col min="109" max="109" width="20" bestFit="1" customWidth="1"/>
    <col min="110" max="110" width="23.140625" bestFit="1" customWidth="1"/>
    <col min="111" max="111" width="16.7109375" bestFit="1" customWidth="1"/>
    <col min="112" max="112" width="19.85546875" bestFit="1" customWidth="1"/>
    <col min="113" max="113" width="20.7109375" bestFit="1" customWidth="1"/>
    <col min="114" max="114" width="23.85546875" bestFit="1" customWidth="1"/>
    <col min="115" max="115" width="20.5703125" bestFit="1" customWidth="1"/>
    <col min="116" max="116" width="23.7109375" bestFit="1" customWidth="1"/>
    <col min="117" max="117" width="30.5703125" bestFit="1" customWidth="1"/>
    <col min="118" max="118" width="33.85546875" bestFit="1" customWidth="1"/>
    <col min="119" max="119" width="10.5703125" bestFit="1" customWidth="1"/>
    <col min="120" max="120" width="13.7109375" bestFit="1" customWidth="1"/>
    <col min="121" max="121" width="6" bestFit="1" customWidth="1"/>
    <col min="122" max="122" width="9" bestFit="1" customWidth="1"/>
    <col min="123" max="123" width="21.140625" bestFit="1" customWidth="1"/>
    <col min="124" max="124" width="24.28515625" bestFit="1" customWidth="1"/>
    <col min="125" max="125" width="11.85546875" bestFit="1" customWidth="1"/>
    <col min="126" max="126" width="15" bestFit="1" customWidth="1"/>
    <col min="127" max="127" width="9.5703125" bestFit="1" customWidth="1"/>
    <col min="128" max="128" width="12.5703125" bestFit="1" customWidth="1"/>
    <col min="129" max="129" width="12.140625" bestFit="1" customWidth="1"/>
    <col min="130" max="130" width="15.28515625" bestFit="1" customWidth="1"/>
    <col min="131" max="131" width="25.42578125" bestFit="1" customWidth="1"/>
    <col min="132" max="132" width="28.5703125" bestFit="1" customWidth="1"/>
    <col min="133" max="133" width="16.140625" bestFit="1" customWidth="1"/>
    <col min="134" max="134" width="19.28515625" bestFit="1" customWidth="1"/>
    <col min="135" max="135" width="34.28515625" bestFit="1" customWidth="1"/>
    <col min="136" max="136" width="37.42578125" bestFit="1" customWidth="1"/>
    <col min="137" max="137" width="33.5703125" bestFit="1" customWidth="1"/>
    <col min="138" max="138" width="36.7109375" bestFit="1" customWidth="1"/>
    <col min="139" max="139" width="8" bestFit="1" customWidth="1"/>
    <col min="140" max="140" width="11" bestFit="1" customWidth="1"/>
    <col min="141" max="141" width="29" bestFit="1" customWidth="1"/>
    <col min="142" max="142" width="32.140625" bestFit="1" customWidth="1"/>
    <col min="143" max="143" width="14.42578125" bestFit="1" customWidth="1"/>
    <col min="144" max="144" width="17.7109375" bestFit="1" customWidth="1"/>
    <col min="145" max="145" width="20" bestFit="1" customWidth="1"/>
    <col min="146" max="146" width="23.140625" bestFit="1" customWidth="1"/>
    <col min="147" max="147" width="18.7109375" bestFit="1" customWidth="1"/>
    <col min="148" max="148" width="22" bestFit="1" customWidth="1"/>
    <col min="149" max="149" width="21.140625" bestFit="1" customWidth="1"/>
    <col min="150" max="150" width="24.28515625" bestFit="1" customWidth="1"/>
    <col min="151" max="151" width="21.85546875" bestFit="1" customWidth="1"/>
    <col min="152" max="152" width="25" bestFit="1" customWidth="1"/>
    <col min="153" max="153" width="23.28515625" bestFit="1" customWidth="1"/>
    <col min="154" max="154" width="26.42578125" bestFit="1" customWidth="1"/>
    <col min="155" max="155" width="14.140625" bestFit="1" customWidth="1"/>
    <col min="156" max="156" width="11.42578125" bestFit="1" customWidth="1"/>
    <col min="157" max="157" width="18.7109375" bestFit="1" customWidth="1"/>
    <col min="158" max="158" width="22" bestFit="1" customWidth="1"/>
    <col min="159" max="159" width="10.5703125" bestFit="1" customWidth="1"/>
    <col min="160" max="160" width="11.5703125" bestFit="1" customWidth="1"/>
    <col min="161" max="161" width="8" bestFit="1" customWidth="1"/>
    <col min="162" max="162" width="11" bestFit="1" customWidth="1"/>
    <col min="163" max="163" width="12.85546875" bestFit="1" customWidth="1"/>
    <col min="164" max="164" width="16" bestFit="1" customWidth="1"/>
    <col min="165" max="165" width="11.42578125" bestFit="1" customWidth="1"/>
    <col min="166" max="166" width="14.5703125" bestFit="1" customWidth="1"/>
    <col min="167" max="167" width="9.28515625" bestFit="1" customWidth="1"/>
    <col min="168" max="168" width="12.28515625" bestFit="1" customWidth="1"/>
    <col min="169" max="169" width="7.7109375" bestFit="1" customWidth="1"/>
    <col min="170" max="170" width="10.7109375" bestFit="1" customWidth="1"/>
    <col min="171" max="171" width="14.140625" bestFit="1" customWidth="1"/>
    <col min="172" max="172" width="16" bestFit="1" customWidth="1"/>
    <col min="173" max="173" width="7.28515625" bestFit="1" customWidth="1"/>
    <col min="174" max="174" width="10.28515625" bestFit="1" customWidth="1"/>
    <col min="175" max="175" width="7.42578125" bestFit="1" customWidth="1"/>
    <col min="176" max="176" width="10.42578125" bestFit="1" customWidth="1"/>
    <col min="177" max="177" width="17.42578125" bestFit="1" customWidth="1"/>
    <col min="178" max="178" width="20.5703125" bestFit="1" customWidth="1"/>
    <col min="179" max="179" width="17.85546875" bestFit="1" customWidth="1"/>
    <col min="180" max="180" width="21" bestFit="1" customWidth="1"/>
    <col min="181" max="181" width="24" bestFit="1" customWidth="1"/>
    <col min="182" max="182" width="27.140625" bestFit="1" customWidth="1"/>
    <col min="183" max="183" width="14.140625" bestFit="1" customWidth="1"/>
    <col min="184" max="184" width="12" bestFit="1" customWidth="1"/>
    <col min="185" max="185" width="14.140625" bestFit="1" customWidth="1"/>
    <col min="186" max="186" width="17" bestFit="1" customWidth="1"/>
    <col min="187" max="187" width="14.140625" bestFit="1" customWidth="1"/>
    <col min="188" max="188" width="17" bestFit="1" customWidth="1"/>
    <col min="189" max="189" width="23" bestFit="1" customWidth="1"/>
    <col min="190" max="190" width="26.28515625" bestFit="1" customWidth="1"/>
    <col min="191" max="191" width="21.5703125" bestFit="1" customWidth="1"/>
    <col min="192" max="192" width="24.7109375" bestFit="1" customWidth="1"/>
    <col min="193" max="193" width="10.5703125" bestFit="1" customWidth="1"/>
    <col min="194" max="194" width="10" bestFit="1" customWidth="1"/>
    <col min="195" max="195" width="15.42578125" bestFit="1" customWidth="1"/>
    <col min="196" max="196" width="18.5703125" bestFit="1" customWidth="1"/>
    <col min="197" max="197" width="16.28515625" bestFit="1" customWidth="1"/>
    <col min="198" max="198" width="19.42578125" bestFit="1" customWidth="1"/>
    <col min="199" max="199" width="14" bestFit="1" customWidth="1"/>
    <col min="200" max="200" width="17.28515625" bestFit="1" customWidth="1"/>
    <col min="201" max="201" width="12" bestFit="1" customWidth="1"/>
    <col min="202" max="202" width="15.140625" bestFit="1" customWidth="1"/>
    <col min="203" max="203" width="12.85546875" bestFit="1" customWidth="1"/>
    <col min="204" max="204" width="16" bestFit="1" customWidth="1"/>
    <col min="205" max="205" width="15.7109375" bestFit="1" customWidth="1"/>
    <col min="206" max="206" width="18.85546875" bestFit="1" customWidth="1"/>
    <col min="207" max="207" width="7.85546875" bestFit="1" customWidth="1"/>
    <col min="208" max="208" width="10.85546875" bestFit="1" customWidth="1"/>
    <col min="209" max="209" width="19.5703125" bestFit="1" customWidth="1"/>
    <col min="210" max="210" width="22.7109375" bestFit="1" customWidth="1"/>
    <col min="211" max="211" width="8.7109375" bestFit="1" customWidth="1"/>
    <col min="212" max="212" width="11.7109375" bestFit="1" customWidth="1"/>
    <col min="213" max="213" width="28.42578125" bestFit="1" customWidth="1"/>
    <col min="214" max="214" width="31.5703125" bestFit="1" customWidth="1"/>
    <col min="215" max="215" width="12.85546875" bestFit="1" customWidth="1"/>
    <col min="216" max="216" width="16" bestFit="1" customWidth="1"/>
    <col min="217" max="217" width="10.5703125" bestFit="1" customWidth="1"/>
    <col min="218" max="218" width="11" bestFit="1" customWidth="1"/>
    <col min="219" max="219" width="20.140625" bestFit="1" customWidth="1"/>
    <col min="220" max="220" width="23.28515625" bestFit="1" customWidth="1"/>
    <col min="221" max="221" width="8.85546875" bestFit="1" customWidth="1"/>
    <col min="222" max="222" width="11.85546875" bestFit="1" customWidth="1"/>
    <col min="223" max="223" width="14.140625" bestFit="1" customWidth="1"/>
    <col min="224" max="224" width="9.42578125" bestFit="1" customWidth="1"/>
    <col min="225" max="225" width="11.28515625" bestFit="1" customWidth="1"/>
    <col min="226" max="226" width="14.42578125" bestFit="1" customWidth="1"/>
    <col min="227" max="227" width="11.140625" bestFit="1" customWidth="1"/>
    <col min="228" max="228" width="14.28515625" bestFit="1" customWidth="1"/>
    <col min="229" max="229" width="42.28515625" bestFit="1" customWidth="1"/>
    <col min="230" max="230" width="45.42578125" bestFit="1" customWidth="1"/>
    <col min="231" max="231" width="14.140625" bestFit="1" customWidth="1"/>
    <col min="232" max="232" width="17.42578125" bestFit="1" customWidth="1"/>
    <col min="233" max="233" width="11.140625" bestFit="1" customWidth="1"/>
    <col min="234" max="234" width="14.28515625" bestFit="1" customWidth="1"/>
    <col min="235" max="235" width="14.140625" bestFit="1" customWidth="1"/>
    <col min="236" max="236" width="15.5703125" bestFit="1" customWidth="1"/>
    <col min="237" max="237" width="14.140625" bestFit="1" customWidth="1"/>
    <col min="238" max="238" width="15.42578125" bestFit="1" customWidth="1"/>
    <col min="239" max="239" width="9.28515625" bestFit="1" customWidth="1"/>
    <col min="240" max="240" width="12.28515625" bestFit="1" customWidth="1"/>
    <col min="241" max="241" width="17.5703125" bestFit="1" customWidth="1"/>
    <col min="242" max="242" width="20.7109375" bestFit="1" customWidth="1"/>
    <col min="243" max="243" width="14.140625" bestFit="1" customWidth="1"/>
    <col min="244" max="244" width="17.42578125" bestFit="1" customWidth="1"/>
    <col min="245" max="245" width="10.5703125" bestFit="1" customWidth="1"/>
    <col min="246" max="246" width="13.7109375" bestFit="1" customWidth="1"/>
    <col min="247" max="247" width="14.5703125" bestFit="1" customWidth="1"/>
    <col min="248" max="248" width="17.85546875" bestFit="1" customWidth="1"/>
    <col min="249" max="250" width="12" bestFit="1" customWidth="1"/>
    <col min="251" max="251" width="15.140625" bestFit="1" customWidth="1"/>
    <col min="252" max="252" width="18.5703125" bestFit="1" customWidth="1"/>
    <col min="253" max="253" width="21.85546875" bestFit="1" customWidth="1"/>
    <col min="254" max="254" width="10" bestFit="1" customWidth="1"/>
    <col min="255" max="255" width="13.140625" bestFit="1" customWidth="1"/>
    <col min="256" max="256" width="8.85546875" bestFit="1" customWidth="1"/>
    <col min="257" max="257" width="11.85546875" bestFit="1" customWidth="1"/>
    <col min="258" max="258" width="9.85546875" bestFit="1" customWidth="1"/>
    <col min="259" max="259" width="12.85546875" bestFit="1" customWidth="1"/>
    <col min="260" max="260" width="11.28515625" bestFit="1" customWidth="1"/>
    <col min="261" max="261" width="14.42578125" bestFit="1" customWidth="1"/>
    <col min="262" max="262" width="15" bestFit="1" customWidth="1"/>
    <col min="263" max="263" width="18.140625" bestFit="1" customWidth="1"/>
    <col min="264" max="264" width="16.85546875" bestFit="1" customWidth="1"/>
    <col min="265" max="265" width="20" bestFit="1" customWidth="1"/>
    <col min="266" max="266" width="14.140625" bestFit="1" customWidth="1"/>
    <col min="267" max="267" width="16" bestFit="1" customWidth="1"/>
    <col min="268" max="268" width="21.7109375" bestFit="1" customWidth="1"/>
    <col min="269" max="269" width="24.85546875" bestFit="1" customWidth="1"/>
    <col min="270" max="270" width="24.42578125" bestFit="1" customWidth="1"/>
    <col min="271" max="271" width="27.5703125" bestFit="1" customWidth="1"/>
    <col min="272" max="272" width="14.140625" bestFit="1" customWidth="1"/>
    <col min="273" max="273" width="15" bestFit="1" customWidth="1"/>
    <col min="274" max="274" width="8.42578125" bestFit="1" customWidth="1"/>
    <col min="275" max="275" width="11.42578125" bestFit="1" customWidth="1"/>
    <col min="276" max="276" width="17.140625" bestFit="1" customWidth="1"/>
    <col min="277" max="277" width="20.28515625" bestFit="1" customWidth="1"/>
    <col min="278" max="278" width="9.5703125" bestFit="1" customWidth="1"/>
    <col min="279" max="279" width="12.5703125" bestFit="1" customWidth="1"/>
    <col min="280" max="280" width="11.28515625" bestFit="1" customWidth="1"/>
  </cols>
  <sheetData>
    <row r="4" spans="10:11" x14ac:dyDescent="0.25">
      <c r="J4" s="3" t="s">
        <v>4</v>
      </c>
      <c r="K4" t="s">
        <v>12</v>
      </c>
    </row>
    <row r="6" spans="10:11" x14ac:dyDescent="0.25">
      <c r="J6" s="3" t="s">
        <v>151</v>
      </c>
      <c r="K6" t="s">
        <v>165</v>
      </c>
    </row>
    <row r="7" spans="10:11" x14ac:dyDescent="0.25">
      <c r="J7" s="4" t="s">
        <v>153</v>
      </c>
      <c r="K7" s="32">
        <v>13244.15</v>
      </c>
    </row>
    <row r="8" spans="10:11" x14ac:dyDescent="0.25">
      <c r="J8" s="4" t="s">
        <v>154</v>
      </c>
      <c r="K8" s="32">
        <v>17200.95</v>
      </c>
    </row>
    <row r="9" spans="10:11" x14ac:dyDescent="0.25">
      <c r="J9" s="4" t="s">
        <v>155</v>
      </c>
      <c r="K9" s="32">
        <v>11145</v>
      </c>
    </row>
    <row r="10" spans="10:11" x14ac:dyDescent="0.25">
      <c r="J10" s="4" t="s">
        <v>156</v>
      </c>
      <c r="K10" s="32">
        <v>20739</v>
      </c>
    </row>
    <row r="11" spans="10:11" x14ac:dyDescent="0.25">
      <c r="J11" s="4" t="s">
        <v>157</v>
      </c>
      <c r="K11" s="32">
        <v>8945.7200000000012</v>
      </c>
    </row>
    <row r="12" spans="10:11" x14ac:dyDescent="0.25">
      <c r="J12" s="4" t="s">
        <v>158</v>
      </c>
      <c r="K12" s="32">
        <v>12651.81</v>
      </c>
    </row>
    <row r="13" spans="10:11" x14ac:dyDescent="0.25">
      <c r="J13" s="4" t="s">
        <v>159</v>
      </c>
      <c r="K13" s="32">
        <v>8694</v>
      </c>
    </row>
    <row r="14" spans="10:11" x14ac:dyDescent="0.25">
      <c r="J14" s="4" t="s">
        <v>160</v>
      </c>
      <c r="K14" s="32">
        <v>5711</v>
      </c>
    </row>
    <row r="15" spans="10:11" x14ac:dyDescent="0.25">
      <c r="J15" s="4" t="s">
        <v>161</v>
      </c>
      <c r="K15" s="32">
        <v>6662</v>
      </c>
    </row>
    <row r="16" spans="10:11" x14ac:dyDescent="0.25">
      <c r="J16" s="4" t="s">
        <v>162</v>
      </c>
      <c r="K16" s="32">
        <v>13521</v>
      </c>
    </row>
    <row r="17" spans="2:14" x14ac:dyDescent="0.25">
      <c r="J17" s="4" t="s">
        <v>163</v>
      </c>
      <c r="K17" s="32">
        <v>7312.9</v>
      </c>
    </row>
    <row r="18" spans="2:14" x14ac:dyDescent="0.25">
      <c r="J18" s="4" t="s">
        <v>164</v>
      </c>
      <c r="K18" s="32">
        <v>24025.75</v>
      </c>
    </row>
    <row r="19" spans="2:14" x14ac:dyDescent="0.25">
      <c r="B19" s="7" t="s">
        <v>168</v>
      </c>
      <c r="C19" s="6">
        <v>698147</v>
      </c>
      <c r="E19" s="8" t="s">
        <v>169</v>
      </c>
      <c r="F19" s="6">
        <v>149853.28</v>
      </c>
      <c r="H19" s="9" t="s">
        <v>170</v>
      </c>
      <c r="I19" s="10">
        <f>C19-F19</f>
        <v>548293.72</v>
      </c>
      <c r="J19" s="4" t="s">
        <v>152</v>
      </c>
      <c r="K19" s="32">
        <v>149853.28</v>
      </c>
      <c r="M19" s="3" t="s">
        <v>4</v>
      </c>
      <c r="N19" t="s">
        <v>12</v>
      </c>
    </row>
    <row r="20" spans="2:14" x14ac:dyDescent="0.25">
      <c r="M20" s="3" t="s">
        <v>2</v>
      </c>
      <c r="N20" t="s">
        <v>166</v>
      </c>
    </row>
    <row r="21" spans="2:14" x14ac:dyDescent="0.25">
      <c r="M21" s="3" t="s">
        <v>167</v>
      </c>
      <c r="N21" t="s">
        <v>166</v>
      </c>
    </row>
    <row r="23" spans="2:14" x14ac:dyDescent="0.25">
      <c r="M23" s="3" t="s">
        <v>151</v>
      </c>
      <c r="N23" t="s">
        <v>165</v>
      </c>
    </row>
    <row r="24" spans="2:14" x14ac:dyDescent="0.25">
      <c r="M24" s="4" t="s">
        <v>74</v>
      </c>
      <c r="N24" s="32">
        <v>14000</v>
      </c>
    </row>
    <row r="25" spans="2:14" x14ac:dyDescent="0.25">
      <c r="J25" s="3" t="s">
        <v>167</v>
      </c>
      <c r="K25" t="s">
        <v>166</v>
      </c>
      <c r="M25" s="4" t="s">
        <v>99</v>
      </c>
      <c r="N25" s="32">
        <v>214</v>
      </c>
    </row>
    <row r="26" spans="2:14" x14ac:dyDescent="0.25">
      <c r="M26" s="4" t="s">
        <v>27</v>
      </c>
      <c r="N26" s="32">
        <v>200</v>
      </c>
    </row>
    <row r="27" spans="2:14" x14ac:dyDescent="0.25">
      <c r="J27" s="3" t="s">
        <v>151</v>
      </c>
      <c r="K27" t="s">
        <v>165</v>
      </c>
      <c r="M27" s="4" t="s">
        <v>34</v>
      </c>
      <c r="N27" s="32">
        <v>10</v>
      </c>
    </row>
    <row r="28" spans="2:14" x14ac:dyDescent="0.25">
      <c r="J28" s="4" t="s">
        <v>12</v>
      </c>
      <c r="K28" s="32">
        <v>149853.28</v>
      </c>
      <c r="M28" s="4" t="s">
        <v>109</v>
      </c>
      <c r="N28" s="32">
        <v>8297</v>
      </c>
    </row>
    <row r="29" spans="2:14" x14ac:dyDescent="0.25">
      <c r="J29" s="5" t="s">
        <v>56</v>
      </c>
      <c r="K29" s="32">
        <v>11674.72</v>
      </c>
      <c r="M29" s="4" t="s">
        <v>100</v>
      </c>
      <c r="N29" s="32">
        <v>1500</v>
      </c>
    </row>
    <row r="30" spans="2:14" x14ac:dyDescent="0.25">
      <c r="J30" s="5" t="s">
        <v>73</v>
      </c>
      <c r="K30" s="32">
        <v>14000</v>
      </c>
      <c r="M30" s="4" t="s">
        <v>128</v>
      </c>
      <c r="N30" s="32">
        <v>115</v>
      </c>
    </row>
    <row r="31" spans="2:14" x14ac:dyDescent="0.25">
      <c r="J31" s="5" t="s">
        <v>10</v>
      </c>
      <c r="K31" s="32">
        <v>24607.760000000002</v>
      </c>
      <c r="M31" s="4" t="s">
        <v>89</v>
      </c>
      <c r="N31" s="32">
        <v>10</v>
      </c>
    </row>
    <row r="32" spans="2:14" x14ac:dyDescent="0.25">
      <c r="J32" s="5" t="s">
        <v>14</v>
      </c>
      <c r="K32" s="32">
        <v>54810</v>
      </c>
      <c r="M32" s="4" t="s">
        <v>118</v>
      </c>
      <c r="N32" s="32">
        <v>199</v>
      </c>
    </row>
    <row r="33" spans="10:14" x14ac:dyDescent="0.25">
      <c r="J33" s="5" t="s">
        <v>13</v>
      </c>
      <c r="K33" s="32">
        <v>28887</v>
      </c>
      <c r="M33" s="4" t="s">
        <v>145</v>
      </c>
      <c r="N33" s="32">
        <v>400</v>
      </c>
    </row>
    <row r="34" spans="10:14" x14ac:dyDescent="0.25">
      <c r="J34" s="5" t="s">
        <v>16</v>
      </c>
      <c r="K34" s="32">
        <v>15873.8</v>
      </c>
      <c r="M34" s="4" t="s">
        <v>127</v>
      </c>
      <c r="N34" s="32">
        <v>110</v>
      </c>
    </row>
    <row r="35" spans="10:14" x14ac:dyDescent="0.25">
      <c r="J35" s="4" t="s">
        <v>152</v>
      </c>
      <c r="K35" s="32">
        <v>149853.28</v>
      </c>
      <c r="M35" s="4" t="s">
        <v>43</v>
      </c>
      <c r="N35" s="32">
        <v>50</v>
      </c>
    </row>
    <row r="36" spans="10:14" x14ac:dyDescent="0.25">
      <c r="M36" s="4" t="s">
        <v>36</v>
      </c>
      <c r="N36" s="32">
        <v>105</v>
      </c>
    </row>
    <row r="37" spans="10:14" x14ac:dyDescent="0.25">
      <c r="J37" s="31" t="s">
        <v>171</v>
      </c>
      <c r="K37" s="31"/>
      <c r="M37" s="4" t="s">
        <v>140</v>
      </c>
      <c r="N37" s="32">
        <v>18</v>
      </c>
    </row>
    <row r="38" spans="10:14" x14ac:dyDescent="0.25">
      <c r="M38" s="4" t="s">
        <v>51</v>
      </c>
      <c r="N38" s="32">
        <v>1575</v>
      </c>
    </row>
    <row r="39" spans="10:14" x14ac:dyDescent="0.25">
      <c r="M39" s="4" t="s">
        <v>69</v>
      </c>
      <c r="N39" s="32">
        <v>1365</v>
      </c>
    </row>
    <row r="40" spans="10:14" x14ac:dyDescent="0.25">
      <c r="M40" s="4" t="s">
        <v>80</v>
      </c>
      <c r="N40" s="32">
        <v>306</v>
      </c>
    </row>
    <row r="41" spans="10:14" x14ac:dyDescent="0.25">
      <c r="M41" s="4" t="s">
        <v>96</v>
      </c>
      <c r="N41" s="32">
        <v>125</v>
      </c>
    </row>
    <row r="42" spans="10:14" x14ac:dyDescent="0.25">
      <c r="K42" s="3" t="s">
        <v>167</v>
      </c>
      <c r="L42" t="s">
        <v>166</v>
      </c>
      <c r="M42" s="4" t="s">
        <v>146</v>
      </c>
      <c r="N42" s="32">
        <v>50</v>
      </c>
    </row>
    <row r="43" spans="10:14" x14ac:dyDescent="0.25">
      <c r="M43" s="4" t="s">
        <v>98</v>
      </c>
      <c r="N43" s="32">
        <v>1599</v>
      </c>
    </row>
    <row r="44" spans="10:14" x14ac:dyDescent="0.25">
      <c r="K44" s="3" t="s">
        <v>151</v>
      </c>
      <c r="L44" t="s">
        <v>173</v>
      </c>
      <c r="M44" s="4" t="s">
        <v>147</v>
      </c>
      <c r="N44" s="32">
        <v>14</v>
      </c>
    </row>
    <row r="45" spans="10:14" x14ac:dyDescent="0.25">
      <c r="K45" s="4" t="s">
        <v>7</v>
      </c>
      <c r="L45">
        <v>13000</v>
      </c>
      <c r="M45" s="4" t="s">
        <v>144</v>
      </c>
      <c r="N45" s="32">
        <v>300</v>
      </c>
    </row>
    <row r="46" spans="10:14" x14ac:dyDescent="0.25">
      <c r="K46" s="4" t="s">
        <v>56</v>
      </c>
      <c r="L46">
        <v>0</v>
      </c>
      <c r="M46" s="4" t="s">
        <v>58</v>
      </c>
      <c r="N46" s="32">
        <v>289</v>
      </c>
    </row>
    <row r="47" spans="10:14" x14ac:dyDescent="0.25">
      <c r="K47" s="4" t="s">
        <v>73</v>
      </c>
      <c r="L47">
        <v>0</v>
      </c>
      <c r="M47" s="4" t="s">
        <v>37</v>
      </c>
      <c r="N47" s="32">
        <v>120</v>
      </c>
    </row>
    <row r="48" spans="10:14" x14ac:dyDescent="0.25">
      <c r="K48" s="4" t="s">
        <v>10</v>
      </c>
      <c r="L48">
        <v>0</v>
      </c>
      <c r="M48" s="4" t="s">
        <v>66</v>
      </c>
      <c r="N48" s="32">
        <v>10</v>
      </c>
    </row>
    <row r="49" spans="11:14" x14ac:dyDescent="0.25">
      <c r="K49" s="4" t="s">
        <v>14</v>
      </c>
      <c r="L49">
        <v>0</v>
      </c>
      <c r="M49" s="4" t="s">
        <v>18</v>
      </c>
      <c r="N49" s="32">
        <v>1115.1500000000001</v>
      </c>
    </row>
    <row r="50" spans="11:14" x14ac:dyDescent="0.25">
      <c r="K50" s="4" t="s">
        <v>13</v>
      </c>
      <c r="L50">
        <v>24237</v>
      </c>
      <c r="M50" s="4" t="s">
        <v>120</v>
      </c>
      <c r="N50" s="32">
        <v>373</v>
      </c>
    </row>
    <row r="51" spans="11:14" x14ac:dyDescent="0.25">
      <c r="K51" s="4" t="s">
        <v>78</v>
      </c>
      <c r="L51">
        <v>660910</v>
      </c>
      <c r="M51" s="4" t="s">
        <v>97</v>
      </c>
      <c r="N51" s="32">
        <v>491</v>
      </c>
    </row>
    <row r="52" spans="11:14" x14ac:dyDescent="0.25">
      <c r="K52" s="4" t="s">
        <v>16</v>
      </c>
      <c r="L52">
        <v>0</v>
      </c>
      <c r="M52" s="4" t="s">
        <v>40</v>
      </c>
      <c r="N52" s="32">
        <v>943</v>
      </c>
    </row>
    <row r="53" spans="11:14" x14ac:dyDescent="0.25">
      <c r="K53" s="4" t="s">
        <v>152</v>
      </c>
      <c r="L53">
        <v>698147</v>
      </c>
      <c r="M53" s="4" t="s">
        <v>124</v>
      </c>
      <c r="N53" s="32">
        <v>250</v>
      </c>
    </row>
    <row r="54" spans="11:14" x14ac:dyDescent="0.25">
      <c r="M54" s="4" t="s">
        <v>90</v>
      </c>
      <c r="N54" s="32">
        <v>877.81</v>
      </c>
    </row>
    <row r="55" spans="11:14" x14ac:dyDescent="0.25">
      <c r="M55" s="4" t="s">
        <v>70</v>
      </c>
      <c r="N55" s="32">
        <v>3997</v>
      </c>
    </row>
    <row r="56" spans="11:14" x14ac:dyDescent="0.25">
      <c r="M56" s="4" t="s">
        <v>132</v>
      </c>
      <c r="N56" s="32">
        <v>300</v>
      </c>
    </row>
    <row r="57" spans="11:14" x14ac:dyDescent="0.25">
      <c r="M57" s="4" t="s">
        <v>55</v>
      </c>
      <c r="N57" s="32">
        <v>83</v>
      </c>
    </row>
    <row r="58" spans="11:14" x14ac:dyDescent="0.25">
      <c r="M58" s="4" t="s">
        <v>22</v>
      </c>
      <c r="N58" s="32">
        <v>1100</v>
      </c>
    </row>
    <row r="59" spans="11:14" x14ac:dyDescent="0.25">
      <c r="M59" s="4" t="s">
        <v>113</v>
      </c>
      <c r="N59" s="32">
        <v>106</v>
      </c>
    </row>
    <row r="60" spans="11:14" x14ac:dyDescent="0.25">
      <c r="M60" s="4" t="s">
        <v>44</v>
      </c>
      <c r="N60" s="32">
        <v>100</v>
      </c>
    </row>
    <row r="61" spans="11:14" x14ac:dyDescent="0.25">
      <c r="M61" s="4" t="s">
        <v>105</v>
      </c>
      <c r="N61" s="32">
        <v>50</v>
      </c>
    </row>
    <row r="62" spans="11:14" x14ac:dyDescent="0.25">
      <c r="M62" s="4" t="s">
        <v>68</v>
      </c>
      <c r="N62" s="32">
        <v>50</v>
      </c>
    </row>
    <row r="63" spans="11:14" x14ac:dyDescent="0.25">
      <c r="M63" s="4" t="s">
        <v>57</v>
      </c>
      <c r="N63" s="32">
        <v>3999</v>
      </c>
    </row>
    <row r="64" spans="11:14" x14ac:dyDescent="0.25">
      <c r="M64" s="4" t="s">
        <v>148</v>
      </c>
      <c r="N64" s="32">
        <v>25</v>
      </c>
    </row>
    <row r="65" spans="13:14" x14ac:dyDescent="0.25">
      <c r="M65" s="4" t="s">
        <v>54</v>
      </c>
      <c r="N65" s="32">
        <v>1300</v>
      </c>
    </row>
    <row r="66" spans="13:14" x14ac:dyDescent="0.25">
      <c r="M66" s="4" t="s">
        <v>85</v>
      </c>
      <c r="N66" s="32">
        <v>354</v>
      </c>
    </row>
    <row r="67" spans="13:14" x14ac:dyDescent="0.25">
      <c r="M67" s="4" t="s">
        <v>91</v>
      </c>
      <c r="N67" s="32">
        <v>200</v>
      </c>
    </row>
    <row r="68" spans="13:14" x14ac:dyDescent="0.25">
      <c r="M68" s="4" t="s">
        <v>45</v>
      </c>
      <c r="N68" s="32">
        <v>475</v>
      </c>
    </row>
    <row r="69" spans="13:14" x14ac:dyDescent="0.25">
      <c r="M69" s="4" t="s">
        <v>101</v>
      </c>
      <c r="N69" s="32">
        <v>259</v>
      </c>
    </row>
    <row r="70" spans="13:14" x14ac:dyDescent="0.25">
      <c r="M70" s="4" t="s">
        <v>48</v>
      </c>
      <c r="N70" s="32">
        <v>989</v>
      </c>
    </row>
    <row r="71" spans="13:14" x14ac:dyDescent="0.25">
      <c r="M71" s="4" t="s">
        <v>28</v>
      </c>
      <c r="N71" s="32">
        <v>18</v>
      </c>
    </row>
    <row r="72" spans="13:14" x14ac:dyDescent="0.25">
      <c r="M72" s="4" t="s">
        <v>143</v>
      </c>
      <c r="N72" s="32">
        <v>15</v>
      </c>
    </row>
    <row r="73" spans="13:14" x14ac:dyDescent="0.25">
      <c r="M73" s="4" t="s">
        <v>84</v>
      </c>
      <c r="N73" s="32">
        <v>30</v>
      </c>
    </row>
    <row r="74" spans="13:14" x14ac:dyDescent="0.25">
      <c r="M74" s="4" t="s">
        <v>86</v>
      </c>
      <c r="N74" s="32">
        <v>40</v>
      </c>
    </row>
    <row r="75" spans="13:14" x14ac:dyDescent="0.25">
      <c r="M75" s="4" t="s">
        <v>47</v>
      </c>
      <c r="N75" s="32">
        <v>1495</v>
      </c>
    </row>
    <row r="76" spans="13:14" x14ac:dyDescent="0.25">
      <c r="M76" s="4" t="s">
        <v>24</v>
      </c>
      <c r="N76" s="32">
        <v>171</v>
      </c>
    </row>
    <row r="77" spans="13:14" x14ac:dyDescent="0.25">
      <c r="M77" s="4" t="s">
        <v>121</v>
      </c>
      <c r="N77" s="32">
        <v>1530</v>
      </c>
    </row>
    <row r="78" spans="13:14" x14ac:dyDescent="0.25">
      <c r="M78" s="4" t="s">
        <v>63</v>
      </c>
      <c r="N78" s="32">
        <v>300</v>
      </c>
    </row>
    <row r="79" spans="13:14" x14ac:dyDescent="0.25">
      <c r="M79" s="4" t="s">
        <v>137</v>
      </c>
      <c r="N79" s="32">
        <v>200</v>
      </c>
    </row>
    <row r="80" spans="13:14" x14ac:dyDescent="0.25">
      <c r="M80" s="4" t="s">
        <v>19</v>
      </c>
      <c r="N80" s="32">
        <v>3101</v>
      </c>
    </row>
    <row r="81" spans="13:14" x14ac:dyDescent="0.25">
      <c r="M81" s="4" t="s">
        <v>103</v>
      </c>
      <c r="N81" s="32">
        <v>535.29999999999995</v>
      </c>
    </row>
    <row r="82" spans="13:14" x14ac:dyDescent="0.25">
      <c r="M82" s="4" t="s">
        <v>119</v>
      </c>
      <c r="N82" s="32">
        <v>135.5</v>
      </c>
    </row>
    <row r="83" spans="13:14" x14ac:dyDescent="0.25">
      <c r="M83" s="4" t="s">
        <v>17</v>
      </c>
      <c r="N83" s="32">
        <v>90</v>
      </c>
    </row>
    <row r="84" spans="13:14" x14ac:dyDescent="0.25">
      <c r="M84" s="4" t="s">
        <v>115</v>
      </c>
      <c r="N84" s="32">
        <v>1060</v>
      </c>
    </row>
    <row r="85" spans="13:14" x14ac:dyDescent="0.25">
      <c r="M85" s="4" t="s">
        <v>131</v>
      </c>
      <c r="N85" s="32">
        <v>7770</v>
      </c>
    </row>
    <row r="86" spans="13:14" x14ac:dyDescent="0.25">
      <c r="M86" s="4" t="s">
        <v>29</v>
      </c>
      <c r="N86" s="32">
        <v>25</v>
      </c>
    </row>
    <row r="87" spans="13:14" x14ac:dyDescent="0.25">
      <c r="M87" s="4" t="s">
        <v>114</v>
      </c>
      <c r="N87" s="32">
        <v>140</v>
      </c>
    </row>
    <row r="88" spans="13:14" x14ac:dyDescent="0.25">
      <c r="M88" s="4" t="s">
        <v>42</v>
      </c>
      <c r="N88" s="32">
        <v>120</v>
      </c>
    </row>
    <row r="89" spans="13:14" x14ac:dyDescent="0.25">
      <c r="M89" s="4" t="s">
        <v>112</v>
      </c>
      <c r="N89" s="32">
        <v>40</v>
      </c>
    </row>
    <row r="90" spans="13:14" x14ac:dyDescent="0.25">
      <c r="M90" s="4" t="s">
        <v>149</v>
      </c>
      <c r="N90" s="32">
        <v>43</v>
      </c>
    </row>
    <row r="91" spans="13:14" x14ac:dyDescent="0.25">
      <c r="M91" s="4" t="s">
        <v>61</v>
      </c>
      <c r="N91" s="32">
        <v>640.9</v>
      </c>
    </row>
    <row r="92" spans="13:14" x14ac:dyDescent="0.25">
      <c r="M92" s="4" t="s">
        <v>141</v>
      </c>
      <c r="N92" s="32">
        <v>25</v>
      </c>
    </row>
    <row r="93" spans="13:14" x14ac:dyDescent="0.25">
      <c r="M93" s="4" t="s">
        <v>142</v>
      </c>
      <c r="N93" s="32">
        <v>32</v>
      </c>
    </row>
    <row r="94" spans="13:14" x14ac:dyDescent="0.25">
      <c r="M94" s="4" t="s">
        <v>77</v>
      </c>
      <c r="N94" s="32">
        <v>380</v>
      </c>
    </row>
    <row r="95" spans="13:14" x14ac:dyDescent="0.25">
      <c r="M95" s="4" t="s">
        <v>52</v>
      </c>
      <c r="N95" s="32">
        <v>111</v>
      </c>
    </row>
    <row r="96" spans="13:14" x14ac:dyDescent="0.25">
      <c r="M96" s="4" t="s">
        <v>123</v>
      </c>
      <c r="N96" s="32">
        <v>35</v>
      </c>
    </row>
    <row r="97" spans="13:14" x14ac:dyDescent="0.25">
      <c r="M97" s="4" t="s">
        <v>117</v>
      </c>
      <c r="N97" s="32">
        <v>286</v>
      </c>
    </row>
    <row r="98" spans="13:14" x14ac:dyDescent="0.25">
      <c r="M98" s="4" t="s">
        <v>20</v>
      </c>
      <c r="N98" s="32">
        <v>559</v>
      </c>
    </row>
    <row r="99" spans="13:14" x14ac:dyDescent="0.25">
      <c r="M99" s="4" t="s">
        <v>130</v>
      </c>
      <c r="N99" s="32">
        <v>479</v>
      </c>
    </row>
    <row r="100" spans="13:14" x14ac:dyDescent="0.25">
      <c r="M100" s="4" t="s">
        <v>81</v>
      </c>
      <c r="N100" s="32">
        <v>600</v>
      </c>
    </row>
    <row r="101" spans="13:14" x14ac:dyDescent="0.25">
      <c r="M101" s="4" t="s">
        <v>102</v>
      </c>
      <c r="N101" s="32">
        <v>4580</v>
      </c>
    </row>
    <row r="102" spans="13:14" x14ac:dyDescent="0.25">
      <c r="M102" s="4" t="s">
        <v>35</v>
      </c>
      <c r="N102" s="32">
        <v>100</v>
      </c>
    </row>
    <row r="103" spans="13:14" x14ac:dyDescent="0.25">
      <c r="M103" s="4" t="s">
        <v>72</v>
      </c>
      <c r="N103" s="32">
        <v>107</v>
      </c>
    </row>
    <row r="104" spans="13:14" x14ac:dyDescent="0.25">
      <c r="M104" s="4" t="s">
        <v>111</v>
      </c>
      <c r="N104" s="32">
        <v>300</v>
      </c>
    </row>
    <row r="105" spans="13:14" x14ac:dyDescent="0.25">
      <c r="M105" s="4" t="s">
        <v>79</v>
      </c>
      <c r="N105" s="32">
        <v>80</v>
      </c>
    </row>
    <row r="106" spans="13:14" x14ac:dyDescent="0.25">
      <c r="M106" s="4" t="s">
        <v>46</v>
      </c>
      <c r="N106" s="32">
        <v>165</v>
      </c>
    </row>
    <row r="107" spans="13:14" x14ac:dyDescent="0.25">
      <c r="M107" s="4" t="s">
        <v>126</v>
      </c>
      <c r="N107" s="32">
        <v>94</v>
      </c>
    </row>
    <row r="108" spans="13:14" x14ac:dyDescent="0.25">
      <c r="M108" s="4" t="s">
        <v>23</v>
      </c>
      <c r="N108" s="32">
        <v>59</v>
      </c>
    </row>
    <row r="109" spans="13:14" x14ac:dyDescent="0.25">
      <c r="M109" s="4" t="s">
        <v>11</v>
      </c>
      <c r="N109" s="32">
        <v>1441</v>
      </c>
    </row>
    <row r="110" spans="13:14" x14ac:dyDescent="0.25">
      <c r="M110" s="4" t="s">
        <v>26</v>
      </c>
      <c r="N110" s="32">
        <v>176</v>
      </c>
    </row>
    <row r="111" spans="13:14" x14ac:dyDescent="0.25">
      <c r="M111" s="4" t="s">
        <v>87</v>
      </c>
      <c r="N111" s="32">
        <v>1363.72</v>
      </c>
    </row>
    <row r="112" spans="13:14" x14ac:dyDescent="0.25">
      <c r="M112" s="4" t="s">
        <v>15</v>
      </c>
      <c r="N112" s="32">
        <v>34163</v>
      </c>
    </row>
    <row r="113" spans="13:14" x14ac:dyDescent="0.25">
      <c r="M113" s="4" t="s">
        <v>41</v>
      </c>
      <c r="N113" s="32">
        <v>8</v>
      </c>
    </row>
    <row r="114" spans="13:14" x14ac:dyDescent="0.25">
      <c r="M114" s="4" t="s">
        <v>107</v>
      </c>
      <c r="N114" s="32">
        <v>324.7</v>
      </c>
    </row>
    <row r="115" spans="13:14" x14ac:dyDescent="0.25">
      <c r="M115" s="4" t="s">
        <v>139</v>
      </c>
      <c r="N115" s="32">
        <v>800</v>
      </c>
    </row>
    <row r="116" spans="13:14" x14ac:dyDescent="0.25">
      <c r="M116" s="4" t="s">
        <v>59</v>
      </c>
      <c r="N116" s="32">
        <v>84</v>
      </c>
    </row>
    <row r="117" spans="13:14" x14ac:dyDescent="0.25">
      <c r="M117" s="4" t="s">
        <v>135</v>
      </c>
      <c r="N117" s="32">
        <v>200</v>
      </c>
    </row>
    <row r="118" spans="13:14" x14ac:dyDescent="0.25">
      <c r="M118" s="4" t="s">
        <v>82</v>
      </c>
      <c r="N118" s="32">
        <v>500</v>
      </c>
    </row>
    <row r="119" spans="13:14" x14ac:dyDescent="0.25">
      <c r="M119" s="4" t="s">
        <v>50</v>
      </c>
      <c r="N119" s="32">
        <v>50</v>
      </c>
    </row>
    <row r="120" spans="13:14" x14ac:dyDescent="0.25">
      <c r="M120" s="4" t="s">
        <v>150</v>
      </c>
      <c r="N120" s="32">
        <v>20</v>
      </c>
    </row>
    <row r="121" spans="13:14" x14ac:dyDescent="0.25">
      <c r="M121" s="4" t="s">
        <v>94</v>
      </c>
      <c r="N121" s="32">
        <v>1000</v>
      </c>
    </row>
    <row r="122" spans="13:14" x14ac:dyDescent="0.25">
      <c r="M122" s="4" t="s">
        <v>49</v>
      </c>
      <c r="N122" s="32">
        <v>2709</v>
      </c>
    </row>
    <row r="123" spans="13:14" x14ac:dyDescent="0.25">
      <c r="M123" s="4" t="s">
        <v>93</v>
      </c>
      <c r="N123" s="32">
        <v>4500</v>
      </c>
    </row>
    <row r="124" spans="13:14" x14ac:dyDescent="0.25">
      <c r="M124" s="4" t="s">
        <v>83</v>
      </c>
      <c r="N124" s="32">
        <v>500</v>
      </c>
    </row>
    <row r="125" spans="13:14" x14ac:dyDescent="0.25">
      <c r="M125" s="4" t="s">
        <v>67</v>
      </c>
      <c r="N125" s="32">
        <v>150</v>
      </c>
    </row>
    <row r="126" spans="13:14" x14ac:dyDescent="0.25">
      <c r="M126" s="4" t="s">
        <v>60</v>
      </c>
      <c r="N126" s="32">
        <v>100</v>
      </c>
    </row>
    <row r="127" spans="13:14" x14ac:dyDescent="0.25">
      <c r="M127" s="4" t="s">
        <v>71</v>
      </c>
      <c r="N127" s="32">
        <v>153</v>
      </c>
    </row>
    <row r="128" spans="13:14" x14ac:dyDescent="0.25">
      <c r="M128" s="4" t="s">
        <v>95</v>
      </c>
      <c r="N128" s="32">
        <v>10350</v>
      </c>
    </row>
    <row r="129" spans="13:14" x14ac:dyDescent="0.25">
      <c r="M129" s="4" t="s">
        <v>75</v>
      </c>
      <c r="N129" s="32">
        <v>300</v>
      </c>
    </row>
    <row r="130" spans="13:14" x14ac:dyDescent="0.25">
      <c r="M130" s="4" t="s">
        <v>134</v>
      </c>
      <c r="N130" s="32">
        <v>113</v>
      </c>
    </row>
    <row r="131" spans="13:14" x14ac:dyDescent="0.25">
      <c r="M131" s="4" t="s">
        <v>136</v>
      </c>
      <c r="N131" s="32">
        <v>10000</v>
      </c>
    </row>
    <row r="132" spans="13:14" x14ac:dyDescent="0.25">
      <c r="M132" s="4" t="s">
        <v>38</v>
      </c>
      <c r="N132" s="32">
        <v>580</v>
      </c>
    </row>
    <row r="133" spans="13:14" x14ac:dyDescent="0.25">
      <c r="M133" s="4" t="s">
        <v>33</v>
      </c>
      <c r="N133" s="32">
        <v>1100</v>
      </c>
    </row>
    <row r="134" spans="13:14" x14ac:dyDescent="0.25">
      <c r="M134" s="4" t="s">
        <v>76</v>
      </c>
      <c r="N134" s="32">
        <v>200</v>
      </c>
    </row>
    <row r="135" spans="13:14" x14ac:dyDescent="0.25">
      <c r="M135" s="4" t="s">
        <v>53</v>
      </c>
      <c r="N135" s="32">
        <v>201.8</v>
      </c>
    </row>
    <row r="136" spans="13:14" x14ac:dyDescent="0.25">
      <c r="M136" s="4" t="s">
        <v>39</v>
      </c>
      <c r="N136" s="32">
        <v>4050</v>
      </c>
    </row>
    <row r="137" spans="13:14" x14ac:dyDescent="0.25">
      <c r="M137" s="4" t="s">
        <v>106</v>
      </c>
      <c r="N137" s="32">
        <v>138</v>
      </c>
    </row>
    <row r="138" spans="13:14" x14ac:dyDescent="0.25">
      <c r="M138" s="4" t="s">
        <v>88</v>
      </c>
      <c r="N138" s="32">
        <v>50</v>
      </c>
    </row>
    <row r="139" spans="13:14" x14ac:dyDescent="0.25">
      <c r="M139" s="4" t="s">
        <v>138</v>
      </c>
      <c r="N139" s="32">
        <v>70</v>
      </c>
    </row>
    <row r="140" spans="13:14" x14ac:dyDescent="0.25">
      <c r="M140" s="4" t="s">
        <v>32</v>
      </c>
      <c r="N140" s="32">
        <v>279</v>
      </c>
    </row>
    <row r="141" spans="13:14" x14ac:dyDescent="0.25">
      <c r="M141" s="4" t="s">
        <v>125</v>
      </c>
      <c r="N141" s="32">
        <v>269.39999999999998</v>
      </c>
    </row>
    <row r="142" spans="13:14" x14ac:dyDescent="0.25">
      <c r="M142" s="4" t="s">
        <v>152</v>
      </c>
      <c r="N142" s="32">
        <v>149853.28</v>
      </c>
    </row>
  </sheetData>
  <mergeCells count="1">
    <mergeCell ref="J37:K37"/>
  </mergeCell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4D80F-7B0E-4F41-B856-9E19C732B81E}">
  <dimension ref="B1:AC39"/>
  <sheetViews>
    <sheetView tabSelected="1" zoomScale="87" zoomScaleNormal="87" workbookViewId="0">
      <selection activeCell="AG10" sqref="AG10"/>
    </sheetView>
  </sheetViews>
  <sheetFormatPr defaultRowHeight="15" x14ac:dyDescent="0.25"/>
  <sheetData>
    <row r="1" spans="2:29" ht="15.75" thickBot="1" x14ac:dyDescent="0.3"/>
    <row r="2" spans="2:29" ht="59.25" customHeight="1" x14ac:dyDescent="0.25">
      <c r="B2" s="24" t="s">
        <v>172</v>
      </c>
      <c r="C2" s="25"/>
      <c r="D2" s="25"/>
      <c r="E2" s="25"/>
      <c r="F2" s="25"/>
      <c r="G2" s="25"/>
      <c r="H2" s="25"/>
      <c r="I2" s="25"/>
      <c r="J2" s="25"/>
      <c r="K2" s="25"/>
      <c r="L2" s="25"/>
      <c r="M2" s="25"/>
      <c r="N2" s="25"/>
      <c r="O2" s="25"/>
      <c r="P2" s="25"/>
      <c r="Q2" s="25"/>
      <c r="R2" s="25"/>
      <c r="S2" s="25"/>
      <c r="T2" s="25"/>
      <c r="U2" s="25"/>
      <c r="V2" s="25"/>
      <c r="W2" s="25"/>
      <c r="X2" s="25"/>
      <c r="Y2" s="25"/>
      <c r="Z2" s="25"/>
      <c r="AA2" s="25"/>
      <c r="AB2" s="25"/>
      <c r="AC2" s="26"/>
    </row>
    <row r="3" spans="2:29" ht="18.75" x14ac:dyDescent="0.3">
      <c r="B3" s="35" t="s">
        <v>178</v>
      </c>
      <c r="C3" s="36"/>
      <c r="D3" s="36"/>
      <c r="E3" s="36"/>
      <c r="F3" s="36" t="s">
        <v>179</v>
      </c>
      <c r="G3" s="37"/>
      <c r="H3" s="37"/>
      <c r="I3" s="37"/>
      <c r="J3" s="36" t="s">
        <v>180</v>
      </c>
      <c r="K3" s="36"/>
      <c r="L3" s="36"/>
      <c r="M3" s="36"/>
      <c r="N3" s="12"/>
      <c r="O3" s="12"/>
      <c r="P3" s="12"/>
      <c r="Q3" s="12"/>
      <c r="R3" s="12"/>
      <c r="S3" s="12"/>
      <c r="T3" s="12"/>
      <c r="U3" s="36" t="s">
        <v>181</v>
      </c>
      <c r="V3" s="36"/>
      <c r="W3" s="36"/>
      <c r="X3" s="36"/>
      <c r="Y3" s="12"/>
      <c r="Z3" s="12"/>
      <c r="AA3" s="12"/>
      <c r="AB3" s="12"/>
      <c r="AC3" s="13"/>
    </row>
    <row r="4" spans="2:29" ht="18.75" x14ac:dyDescent="0.3">
      <c r="B4" s="28">
        <f>Sheet1!G227</f>
        <v>698147</v>
      </c>
      <c r="C4" s="29"/>
      <c r="D4" s="29"/>
      <c r="E4" s="29"/>
      <c r="F4" s="27">
        <f>Sheet1!H227</f>
        <v>149853.28</v>
      </c>
      <c r="G4" s="27"/>
      <c r="H4" s="27"/>
      <c r="I4" s="27"/>
      <c r="J4" s="30">
        <f>Sheet1!I227</f>
        <v>548293.72</v>
      </c>
      <c r="K4" s="30"/>
      <c r="L4" s="30"/>
      <c r="M4" s="30"/>
      <c r="N4" s="12"/>
      <c r="O4" s="12"/>
      <c r="P4" s="12"/>
      <c r="Q4" s="12"/>
      <c r="R4" s="12"/>
      <c r="S4" s="12"/>
      <c r="T4" s="12"/>
      <c r="U4" s="38">
        <f>(Sheet1!G227-Sheet1!H227)/Sheet1!G227*100</f>
        <v>78.535569156638928</v>
      </c>
      <c r="V4" s="38"/>
      <c r="W4" s="38"/>
      <c r="X4" s="38"/>
      <c r="Y4" s="12"/>
      <c r="Z4" s="12"/>
      <c r="AA4" s="12"/>
      <c r="AB4" s="12"/>
      <c r="AC4" s="13"/>
    </row>
    <row r="5" spans="2:29" x14ac:dyDescent="0.25">
      <c r="B5" s="11"/>
      <c r="C5" s="12"/>
      <c r="D5" s="12"/>
      <c r="E5" s="12"/>
      <c r="F5" s="12"/>
      <c r="G5" s="12"/>
      <c r="H5" s="12"/>
      <c r="I5" s="12"/>
      <c r="J5" s="12"/>
      <c r="K5" s="12"/>
      <c r="L5" s="12"/>
      <c r="M5" s="12"/>
      <c r="N5" s="12"/>
      <c r="O5" s="12"/>
      <c r="P5" s="12"/>
      <c r="Q5" s="12"/>
      <c r="R5" s="12"/>
      <c r="S5" s="12"/>
      <c r="T5" s="12"/>
      <c r="U5" s="12"/>
      <c r="V5" s="12"/>
      <c r="W5" s="12"/>
      <c r="X5" s="12"/>
      <c r="Y5" s="12"/>
      <c r="Z5" s="12"/>
      <c r="AA5" s="12"/>
      <c r="AB5" s="12"/>
      <c r="AC5" s="13"/>
    </row>
    <row r="6" spans="2:29" x14ac:dyDescent="0.25">
      <c r="B6" s="11"/>
      <c r="C6" s="12"/>
      <c r="D6" s="12"/>
      <c r="E6" s="12"/>
      <c r="F6" s="12"/>
      <c r="G6" s="12"/>
      <c r="H6" s="12"/>
      <c r="I6" s="12"/>
      <c r="J6" s="12"/>
      <c r="K6" s="12"/>
      <c r="L6" s="12"/>
      <c r="M6" s="12"/>
      <c r="N6" s="12"/>
      <c r="O6" s="12"/>
      <c r="P6" s="12"/>
      <c r="Q6" s="12"/>
      <c r="R6" s="12"/>
      <c r="S6" s="12"/>
      <c r="T6" s="12"/>
      <c r="U6" s="12"/>
      <c r="V6" s="12"/>
      <c r="W6" s="12"/>
      <c r="X6" s="12"/>
      <c r="Y6" s="12"/>
      <c r="Z6" s="12"/>
      <c r="AA6" s="12"/>
      <c r="AB6" s="12"/>
      <c r="AC6" s="13"/>
    </row>
    <row r="7" spans="2:29" x14ac:dyDescent="0.25">
      <c r="B7" s="11"/>
      <c r="C7" s="12"/>
      <c r="D7" s="12"/>
      <c r="E7" s="12"/>
      <c r="F7" s="12"/>
      <c r="G7" s="12"/>
      <c r="H7" s="12"/>
      <c r="I7" s="12"/>
      <c r="J7" s="12"/>
      <c r="K7" s="12"/>
      <c r="L7" s="12"/>
      <c r="M7" s="12"/>
      <c r="N7" s="12"/>
      <c r="O7" s="12"/>
      <c r="P7" s="12"/>
      <c r="Q7" s="12"/>
      <c r="R7" s="12"/>
      <c r="S7" s="12"/>
      <c r="T7" s="12"/>
      <c r="U7" s="12"/>
      <c r="V7" s="12"/>
      <c r="W7" s="12"/>
      <c r="X7" s="12"/>
      <c r="Y7" s="12"/>
      <c r="Z7" s="12"/>
      <c r="AA7" s="12"/>
      <c r="AB7" s="12"/>
      <c r="AC7" s="13"/>
    </row>
    <row r="8" spans="2:29" x14ac:dyDescent="0.25">
      <c r="B8" s="11"/>
      <c r="C8" s="12"/>
      <c r="D8" s="12"/>
      <c r="E8" s="12"/>
      <c r="F8" s="12"/>
      <c r="G8" s="12"/>
      <c r="H8" s="12"/>
      <c r="I8" s="12"/>
      <c r="J8" s="12"/>
      <c r="K8" s="12"/>
      <c r="L8" s="12"/>
      <c r="M8" s="12"/>
      <c r="N8" s="12"/>
      <c r="O8" s="12"/>
      <c r="P8" s="12"/>
      <c r="Q8" s="12"/>
      <c r="R8" s="12"/>
      <c r="S8" s="12"/>
      <c r="T8" s="12"/>
      <c r="U8" s="12"/>
      <c r="V8" s="12"/>
      <c r="W8" s="12"/>
      <c r="X8" s="12"/>
      <c r="Y8" s="12"/>
      <c r="Z8" s="12"/>
      <c r="AA8" s="12"/>
      <c r="AB8" s="12"/>
      <c r="AC8" s="13"/>
    </row>
    <row r="9" spans="2:29" x14ac:dyDescent="0.25">
      <c r="B9" s="11"/>
      <c r="C9" s="12"/>
      <c r="D9" s="12"/>
      <c r="E9" s="12"/>
      <c r="F9" s="12"/>
      <c r="G9" s="12"/>
      <c r="H9" s="12"/>
      <c r="I9" s="12"/>
      <c r="J9" s="12"/>
      <c r="K9" s="12"/>
      <c r="L9" s="12"/>
      <c r="M9" s="12"/>
      <c r="N9" s="12"/>
      <c r="O9" s="12"/>
      <c r="P9" s="12"/>
      <c r="Q9" s="12"/>
      <c r="R9" s="12"/>
      <c r="S9" s="12"/>
      <c r="T9" s="12"/>
      <c r="U9" s="12"/>
      <c r="V9" s="12"/>
      <c r="W9" s="12"/>
      <c r="X9" s="12"/>
      <c r="Y9" s="12"/>
      <c r="Z9" s="12"/>
      <c r="AA9" s="12"/>
      <c r="AB9" s="12"/>
      <c r="AC9" s="13"/>
    </row>
    <row r="10" spans="2:29" x14ac:dyDescent="0.25">
      <c r="B10" s="11"/>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3"/>
    </row>
    <row r="11" spans="2:29" x14ac:dyDescent="0.25">
      <c r="B11" s="1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3"/>
    </row>
    <row r="12" spans="2:29" x14ac:dyDescent="0.25">
      <c r="B12" s="11"/>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3"/>
    </row>
    <row r="13" spans="2:29" x14ac:dyDescent="0.25">
      <c r="B13" s="11"/>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3"/>
    </row>
    <row r="14" spans="2:29" x14ac:dyDescent="0.25">
      <c r="B14" s="11"/>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3"/>
    </row>
    <row r="15" spans="2:29" x14ac:dyDescent="0.25">
      <c r="B15" s="11"/>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3"/>
    </row>
    <row r="16" spans="2:29" x14ac:dyDescent="0.25">
      <c r="B16" s="11"/>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3"/>
    </row>
    <row r="17" spans="2:29" x14ac:dyDescent="0.25">
      <c r="B17" s="11"/>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3"/>
    </row>
    <row r="18" spans="2:29" x14ac:dyDescent="0.25">
      <c r="B18" s="11"/>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3"/>
    </row>
    <row r="19" spans="2:29" x14ac:dyDescent="0.25">
      <c r="B19" s="11"/>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3"/>
    </row>
    <row r="20" spans="2:29" x14ac:dyDescent="0.25">
      <c r="B20" s="11"/>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3"/>
    </row>
    <row r="21" spans="2:29" ht="21" x14ac:dyDescent="0.35">
      <c r="B21" s="11"/>
      <c r="C21" s="23" t="s">
        <v>175</v>
      </c>
      <c r="D21" s="23"/>
      <c r="E21" s="23"/>
      <c r="F21" s="23"/>
      <c r="G21" s="23"/>
      <c r="H21" s="23"/>
      <c r="I21" s="23"/>
      <c r="J21" s="12"/>
      <c r="K21" s="12"/>
      <c r="L21" s="12"/>
      <c r="M21" s="12"/>
      <c r="N21" s="12"/>
      <c r="O21" s="12"/>
      <c r="P21" s="12"/>
      <c r="Q21" s="12"/>
      <c r="R21" s="12"/>
      <c r="S21" s="12"/>
      <c r="T21" s="12"/>
      <c r="U21" s="12"/>
      <c r="V21" s="12"/>
      <c r="W21" s="12"/>
      <c r="X21" s="12"/>
      <c r="Y21" s="12"/>
      <c r="Z21" s="12"/>
      <c r="AA21" s="12"/>
      <c r="AB21" s="12"/>
      <c r="AC21" s="13"/>
    </row>
    <row r="22" spans="2:29" x14ac:dyDescent="0.25">
      <c r="B22" s="11"/>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3"/>
    </row>
    <row r="23" spans="2:29" x14ac:dyDescent="0.25">
      <c r="B23" s="11"/>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3"/>
    </row>
    <row r="24" spans="2:29" x14ac:dyDescent="0.25">
      <c r="B24" s="11"/>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3"/>
    </row>
    <row r="25" spans="2:29" x14ac:dyDescent="0.25">
      <c r="B25" s="11"/>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3"/>
    </row>
    <row r="26" spans="2:29" x14ac:dyDescent="0.25">
      <c r="B26" s="11"/>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3"/>
    </row>
    <row r="27" spans="2:29" x14ac:dyDescent="0.25">
      <c r="B27" s="11"/>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3"/>
    </row>
    <row r="28" spans="2:29" x14ac:dyDescent="0.25">
      <c r="B28" s="11"/>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3"/>
    </row>
    <row r="29" spans="2:29" x14ac:dyDescent="0.25">
      <c r="B29" s="11"/>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3"/>
    </row>
    <row r="30" spans="2:29" x14ac:dyDescent="0.25">
      <c r="B30" s="11"/>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3"/>
    </row>
    <row r="31" spans="2:29" x14ac:dyDescent="0.25">
      <c r="B31" s="11"/>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3"/>
    </row>
    <row r="32" spans="2:29" x14ac:dyDescent="0.25">
      <c r="B32" s="11"/>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3"/>
    </row>
    <row r="33" spans="2:29" x14ac:dyDescent="0.25">
      <c r="B33" s="11"/>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3"/>
    </row>
    <row r="34" spans="2:29" x14ac:dyDescent="0.25">
      <c r="B34" s="11"/>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3"/>
    </row>
    <row r="35" spans="2:29" x14ac:dyDescent="0.25">
      <c r="B35" s="11"/>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3"/>
    </row>
    <row r="36" spans="2:29" ht="15.75" thickBot="1" x14ac:dyDescent="0.3">
      <c r="B36" s="11"/>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3"/>
    </row>
    <row r="37" spans="2:29" ht="21.75" thickBot="1" x14ac:dyDescent="0.4">
      <c r="B37" s="14"/>
      <c r="C37" s="22" t="s">
        <v>174</v>
      </c>
      <c r="D37" s="22"/>
      <c r="E37" s="22"/>
      <c r="F37" s="22"/>
      <c r="G37" s="22"/>
      <c r="H37" s="22"/>
      <c r="I37" s="15"/>
      <c r="J37" s="15"/>
      <c r="K37" s="15"/>
      <c r="L37" s="15"/>
      <c r="M37" s="15"/>
      <c r="N37" s="15"/>
      <c r="O37" s="15"/>
      <c r="P37" s="33"/>
      <c r="Q37" s="33"/>
      <c r="R37" s="33"/>
      <c r="S37" s="33"/>
      <c r="T37" s="33"/>
      <c r="U37" s="33"/>
      <c r="V37" s="33"/>
      <c r="W37" s="33"/>
      <c r="X37" s="33"/>
      <c r="Y37" s="33"/>
      <c r="Z37" s="33"/>
      <c r="AA37" s="15"/>
      <c r="AB37" s="15"/>
      <c r="AC37" s="16"/>
    </row>
    <row r="38" spans="2:29" ht="21.75" thickBot="1" x14ac:dyDescent="0.4">
      <c r="B38" s="17"/>
      <c r="C38" s="23" t="s">
        <v>177</v>
      </c>
      <c r="D38" s="23"/>
      <c r="E38" s="23"/>
      <c r="F38" s="23"/>
      <c r="G38" s="23"/>
      <c r="H38" s="23"/>
      <c r="I38" s="23"/>
      <c r="J38" s="23"/>
      <c r="K38" s="12"/>
      <c r="L38" s="12"/>
      <c r="M38" s="12"/>
      <c r="N38" s="12"/>
      <c r="O38" s="12"/>
      <c r="P38" s="33"/>
      <c r="Q38" s="33"/>
      <c r="R38" s="34" t="s">
        <v>176</v>
      </c>
      <c r="S38" s="34"/>
      <c r="T38" s="34"/>
      <c r="U38" s="34"/>
      <c r="V38" s="34"/>
      <c r="W38" s="34"/>
      <c r="X38" s="34"/>
      <c r="Y38" s="34"/>
      <c r="Z38" s="34"/>
      <c r="AA38" s="34"/>
      <c r="AB38" s="34"/>
      <c r="AC38" s="18"/>
    </row>
    <row r="39" spans="2:29" ht="15.75" thickBot="1" x14ac:dyDescent="0.3">
      <c r="B39" s="19"/>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1"/>
    </row>
  </sheetData>
  <mergeCells count="13">
    <mergeCell ref="C37:H37"/>
    <mergeCell ref="C21:I21"/>
    <mergeCell ref="C38:J38"/>
    <mergeCell ref="B2:AC2"/>
    <mergeCell ref="F4:I4"/>
    <mergeCell ref="B4:E4"/>
    <mergeCell ref="J4:M4"/>
    <mergeCell ref="R38:AB38"/>
    <mergeCell ref="B3:E3"/>
    <mergeCell ref="F3:I3"/>
    <mergeCell ref="J3:M3"/>
    <mergeCell ref="U4:X4"/>
    <mergeCell ref="U3: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abhilasha yagyaseni</dc:creator>
  <cp:lastModifiedBy>Keren Samuel</cp:lastModifiedBy>
  <dcterms:created xsi:type="dcterms:W3CDTF">2022-08-27T06:02:07Z</dcterms:created>
  <dcterms:modified xsi:type="dcterms:W3CDTF">2026-04-22T13:41:10Z</dcterms:modified>
</cp:coreProperties>
</file>